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ha\UK\Jobs\Skills\Portfolio\project_01_malaria_CEA\analysis\"/>
    </mc:Choice>
  </mc:AlternateContent>
  <xr:revisionPtr revIDLastSave="0" documentId="13_ncr:1_{8925EA86-5B4D-4258-B812-662BADB9DA5E}" xr6:coauthVersionLast="47" xr6:coauthVersionMax="47" xr10:uidLastSave="{00000000-0000-0000-0000-000000000000}"/>
  <bookViews>
    <workbookView xWindow="-108" yWindow="-108" windowWidth="23256" windowHeight="12456" activeTab="1" xr2:uid="{77F6BC26-A1EF-4C2D-B74F-459D05D45568}"/>
  </bookViews>
  <sheets>
    <sheet name="zone_summary_table_2021" sheetId="2" r:id="rId1"/>
    <sheet name="zone_visuals_2021" sheetId="3" r:id="rId2"/>
    <sheet name="zone_metrics_202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C8" i="1"/>
  <c r="B8" i="1"/>
  <c r="D8" i="1" s="1"/>
  <c r="H8" i="2"/>
  <c r="G8" i="2"/>
  <c r="F8" i="2"/>
  <c r="E8" i="2"/>
  <c r="E3" i="1"/>
  <c r="F3" i="1" s="1"/>
  <c r="E4" i="1"/>
  <c r="F4" i="1" s="1"/>
  <c r="E5" i="1"/>
  <c r="F5" i="1" s="1"/>
  <c r="E6" i="1"/>
  <c r="F6" i="1" s="1"/>
  <c r="E7" i="1"/>
  <c r="F7" i="1" s="1"/>
  <c r="E2" i="1"/>
  <c r="F2" i="1" s="1"/>
  <c r="F8" i="1" l="1"/>
  <c r="M7" i="1"/>
  <c r="M6" i="1"/>
  <c r="E8" i="1"/>
  <c r="M3" i="1"/>
  <c r="N3" i="1" s="1"/>
  <c r="M5" i="1"/>
  <c r="M4" i="1"/>
  <c r="G5" i="1"/>
  <c r="H5" i="1" s="1"/>
  <c r="G2" i="1"/>
  <c r="G7" i="1"/>
  <c r="H7" i="1" s="1"/>
  <c r="N7" i="1" s="1"/>
  <c r="G6" i="1"/>
  <c r="H6" i="1" s="1"/>
  <c r="N6" i="1" s="1"/>
  <c r="G4" i="1"/>
  <c r="H4" i="1" s="1"/>
  <c r="G3" i="1"/>
  <c r="H3" i="1" s="1"/>
  <c r="H2" i="1" l="1"/>
  <c r="G8" i="1"/>
  <c r="N4" i="1"/>
  <c r="N5" i="1"/>
  <c r="H8" i="1" l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1" authorId="0" shapeId="0" xr:uid="{088F7793-C977-40AE-99E3-E74AE15E9C1F}">
      <text>
        <r>
          <rPr>
            <b/>
            <sz val="9"/>
            <color indexed="81"/>
            <rFont val="Tahoma"/>
            <family val="2"/>
          </rPr>
          <t xml:space="preserve">Neha: 
</t>
        </r>
        <r>
          <rPr>
            <sz val="9"/>
            <color indexed="81"/>
            <rFont val="Tahoma"/>
            <family val="2"/>
          </rPr>
          <t>1)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Aggregate Check 2021: National weighted ownership ≈ 60 %, usage ≈ 41 %, totals align with NMIS 2021; dataset internally consistent.
2) Qualitative patterns (eg: not needed, no mosquitors) explain gaps but not numerical equivalent. </t>
        </r>
      </text>
    </comment>
  </commentList>
</comments>
</file>

<file path=xl/sharedStrings.xml><?xml version="1.0" encoding="utf-8"?>
<sst xmlns="http://schemas.openxmlformats.org/spreadsheetml/2006/main" count="81" uniqueCount="53">
  <si>
    <t>zone</t>
  </si>
  <si>
    <t>itn_ownership_households_pct</t>
  </si>
  <si>
    <t>u5_itn_usage_pct</t>
  </si>
  <si>
    <t>usage_gap_pct</t>
  </si>
  <si>
    <t>North Central</t>
  </si>
  <si>
    <t>North East</t>
  </si>
  <si>
    <t>North West</t>
  </si>
  <si>
    <t>South East</t>
  </si>
  <si>
    <t>South South</t>
  </si>
  <si>
    <t>South West</t>
  </si>
  <si>
    <t>u5_population_estimate</t>
  </si>
  <si>
    <t>children_protected</t>
  </si>
  <si>
    <t>children_potentially_protected</t>
  </si>
  <si>
    <t>addl_children_if_gap_closed</t>
  </si>
  <si>
    <t>notes_source</t>
  </si>
  <si>
    <t>data_confidence</t>
  </si>
  <si>
    <t>qual_context_notes</t>
  </si>
  <si>
    <t>national_total</t>
  </si>
  <si>
    <t>zone_share</t>
  </si>
  <si>
    <t>Zone</t>
  </si>
  <si>
    <t>ITN Ownership (%)</t>
  </si>
  <si>
    <t>ITN Usage (%)</t>
  </si>
  <si>
    <t>Usage Gap (%)</t>
  </si>
  <si>
    <t>U5 Population Estimate</t>
  </si>
  <si>
    <t>Children Protected</t>
  </si>
  <si>
    <t>Children Potentially Protected</t>
  </si>
  <si>
    <t>Additional Children if Gap Closed</t>
  </si>
  <si>
    <t>Data Confidence</t>
  </si>
  <si>
    <t>Notes Source</t>
  </si>
  <si>
    <t>National Total</t>
  </si>
  <si>
    <t>High</t>
  </si>
  <si>
    <t>Moderate non-use (21.5%); driven by heat (22%) and no-mosquito perception (22%); lowest ‘not needed’ rate (16%) suggests awareness gains.</t>
  </si>
  <si>
    <t>Relatively low net non-use (17.3%); ‘not needed (26%)’ and ‘no mosquitoes (24%)’ indicate perceived lower risk</t>
  </si>
  <si>
    <t>Lowest net non-use (15.8%); main reasons ‘not needed (27%)’ and ‘old/torn nets (16%)’; usage limited by wear-and-tear.</t>
  </si>
  <si>
    <t>High non-use (43.8%); dominated by ‘too hot (28%)’ and ‘not needed (18%)’; climate discomfort major barrier.</t>
  </si>
  <si>
    <t>Highest non-use (46.6%); ‘not needed (22%)’ and ‘too hot (19%)’; reflect comfort and urban lifestyle factors.</t>
  </si>
  <si>
    <t>High net non-use (42.6%); key reasons ‘not needed (35%)’ and ‘too hot (23%)’; strong perception of low malaria risk.</t>
  </si>
  <si>
    <t>Qualitative Summary</t>
  </si>
  <si>
    <t>Heat and no-mosquito perception; relatively aware zone</t>
  </si>
  <si>
    <t>Low non-use; perceived low risk despite high ownership</t>
  </si>
  <si>
    <t>Low non-use; ageing nets limit usage</t>
  </si>
  <si>
    <t>High non-use; low perceived risk, too hot</t>
  </si>
  <si>
    <t>High non-use; heat and comfort barriers</t>
  </si>
  <si>
    <t>Highest non-use; comfort and urban lifestyle</t>
  </si>
  <si>
    <t>UN WPP 2021 (U5 pop); NMIS 2021 Table 3.8.1 (qual notes)</t>
  </si>
  <si>
    <t>est_cost_per_net_delivered_usd</t>
  </si>
  <si>
    <t>nets_needed_ratio</t>
  </si>
  <si>
    <t>est_total_cost_zone_usd</t>
  </si>
  <si>
    <t>cost_per_addl_child_protected_usd</t>
  </si>
  <si>
    <t>UN WPP 2021 (U5 pop); NMIS 2021 Table 3.8.1 (qual notes), PMI Nigeria Country Profile 2021; WHO World Malaria Report 2023 (LLIN unit cost ≈ $5.5)</t>
  </si>
  <si>
    <t xml:space="preserve">Estimated Total Cost </t>
  </si>
  <si>
    <t>Cost per Additional Child Protected</t>
  </si>
  <si>
    <t>Estimated Cost to Deliver per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</si>
</sst>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6" formatCode="_-[$$-409]* #,##0.00_ ;_-[$$-409]* \-#,##0.0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42" applyNumberFormat="1" applyFont="1" applyAlignment="1">
      <alignment vertical="top"/>
    </xf>
    <xf numFmtId="0" fontId="0" fillId="0" borderId="10" xfId="0" applyBorder="1" applyAlignment="1">
      <alignment vertical="top"/>
    </xf>
    <xf numFmtId="164" fontId="0" fillId="0" borderId="10" xfId="42" applyNumberFormat="1" applyFont="1" applyBorder="1" applyAlignment="1">
      <alignment vertical="top"/>
    </xf>
    <xf numFmtId="0" fontId="16" fillId="0" borderId="10" xfId="0" applyFont="1" applyBorder="1" applyAlignment="1">
      <alignment vertical="top"/>
    </xf>
    <xf numFmtId="0" fontId="0" fillId="0" borderId="10" xfId="0" applyBorder="1" applyAlignment="1">
      <alignment vertical="top" wrapText="1"/>
    </xf>
    <xf numFmtId="164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2" fontId="0" fillId="0" borderId="10" xfId="0" applyNumberFormat="1" applyBorder="1" applyAlignment="1">
      <alignment vertical="top" wrapText="1"/>
    </xf>
    <xf numFmtId="166" fontId="0" fillId="0" borderId="10" xfId="0" applyNumberFormat="1" applyBorder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B0B0B0"/>
      <color rgb="FFFFA726"/>
      <color rgb="FF4CAF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ITN Ownership</a:t>
            </a:r>
            <a:r>
              <a:rPr lang="en-IN" sz="1200" baseline="0"/>
              <a:t> vs Usage by Zone (Children Under 5, 2021)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ITN Ownership (%)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zone_summary_table_2021!$A$2:$A$7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zone_summary_table_2021!$B$2:$B$7</c:f>
              <c:numCache>
                <c:formatCode>General</c:formatCode>
                <c:ptCount val="6"/>
                <c:pt idx="0">
                  <c:v>49.9</c:v>
                </c:pt>
                <c:pt idx="1">
                  <c:v>72</c:v>
                </c:pt>
                <c:pt idx="2">
                  <c:v>75.8</c:v>
                </c:pt>
                <c:pt idx="3">
                  <c:v>36.9</c:v>
                </c:pt>
                <c:pt idx="4">
                  <c:v>39.299999999999997</c:v>
                </c:pt>
                <c:pt idx="5">
                  <c:v>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E-4CFD-AA67-36C28244FF7D}"/>
            </c:ext>
          </c:extLst>
        </c:ser>
        <c:ser>
          <c:idx val="1"/>
          <c:order val="1"/>
          <c:tx>
            <c:v>ITN Usage (%)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zone_summary_table_2021!$A$2:$A$7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zone_summary_table_2021!$C$2:$C$7</c:f>
              <c:numCache>
                <c:formatCode>General</c:formatCode>
                <c:ptCount val="6"/>
                <c:pt idx="0">
                  <c:v>30.5</c:v>
                </c:pt>
                <c:pt idx="1">
                  <c:v>50.8</c:v>
                </c:pt>
                <c:pt idx="2">
                  <c:v>54.6</c:v>
                </c:pt>
                <c:pt idx="3">
                  <c:v>29.5</c:v>
                </c:pt>
                <c:pt idx="4">
                  <c:v>23.7</c:v>
                </c:pt>
                <c:pt idx="5">
                  <c:v>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E-4CFD-AA67-36C28244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396688"/>
        <c:axId val="1876398128"/>
      </c:barChart>
      <c:catAx>
        <c:axId val="187639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Zone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98128"/>
        <c:crosses val="autoZero"/>
        <c:auto val="1"/>
        <c:lblAlgn val="ctr"/>
        <c:lblOffset val="100"/>
        <c:noMultiLvlLbl val="0"/>
      </c:catAx>
      <c:valAx>
        <c:axId val="187639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</a:t>
                </a:r>
                <a:r>
                  <a:rPr lang="en-IN" baseline="0"/>
                  <a:t>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9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Potential Additional Children Protected if Ownership–Usage Gap Closed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zone_summary_table_2021!$A$2:$A$7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zone_summary_table_2021!$H$2:$H$7</c:f>
              <c:numCache>
                <c:formatCode>_ * #,##0_ ;_ * \-#,##0_ ;_ * "-"??_ ;_ @_ </c:formatCode>
                <c:ptCount val="6"/>
                <c:pt idx="0">
                  <c:v>1503500</c:v>
                </c:pt>
                <c:pt idx="1">
                  <c:v>985800</c:v>
                </c:pt>
                <c:pt idx="2">
                  <c:v>1117240</c:v>
                </c:pt>
                <c:pt idx="3">
                  <c:v>389980</c:v>
                </c:pt>
                <c:pt idx="4">
                  <c:v>628680</c:v>
                </c:pt>
                <c:pt idx="5">
                  <c:v>818090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9-4902-9698-367DFB310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6412048"/>
        <c:axId val="1876409648"/>
      </c:barChart>
      <c:catAx>
        <c:axId val="1876412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Zone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09648"/>
        <c:crosses val="autoZero"/>
        <c:auto val="1"/>
        <c:lblAlgn val="ctr"/>
        <c:lblOffset val="100"/>
        <c:noMultiLvlLbl val="0"/>
      </c:catAx>
      <c:valAx>
        <c:axId val="187640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children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1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ITN Usage vs Ownership by Zone (Nigeria 2021)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A72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3333333333332309E-3"/>
                  <c:y val="4.1666666666666664E-2"/>
                </c:manualLayout>
              </c:layout>
              <c:tx>
                <c:rich>
                  <a:bodyPr/>
                  <a:lstStyle/>
                  <a:p>
                    <a:fld id="{D0BF7FD6-DD04-4D18-8B15-131FC3CF00C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623-48EA-887D-7513D8DCACA0}"/>
                </c:ext>
              </c:extLst>
            </c:dLbl>
            <c:dLbl>
              <c:idx val="1"/>
              <c:layout>
                <c:manualLayout>
                  <c:x val="-0.15555555555555545"/>
                  <c:y val="1.3888888888888888E-2"/>
                </c:manualLayout>
              </c:layout>
              <c:tx>
                <c:rich>
                  <a:bodyPr/>
                  <a:lstStyle/>
                  <a:p>
                    <a:fld id="{7D939E64-87E9-4DAE-9565-4796311C7A0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623-48EA-887D-7513D8DCACA0}"/>
                </c:ext>
              </c:extLst>
            </c:dLbl>
            <c:dLbl>
              <c:idx val="2"/>
              <c:layout>
                <c:manualLayout>
                  <c:x val="-0.14722222222222234"/>
                  <c:y val="-2.7777777777777821E-2"/>
                </c:manualLayout>
              </c:layout>
              <c:tx>
                <c:rich>
                  <a:bodyPr/>
                  <a:lstStyle/>
                  <a:p>
                    <a:fld id="{4AE99CE0-7C79-4137-AFA2-1921E33A1CA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623-48EA-887D-7513D8DCACA0}"/>
                </c:ext>
              </c:extLst>
            </c:dLbl>
            <c:dLbl>
              <c:idx val="3"/>
              <c:layout>
                <c:manualLayout>
                  <c:x val="-0.15833333333333338"/>
                  <c:y val="-9.2592592592592587E-3"/>
                </c:manualLayout>
              </c:layout>
              <c:tx>
                <c:rich>
                  <a:bodyPr/>
                  <a:lstStyle/>
                  <a:p>
                    <a:fld id="{5895CEFB-6F7A-47C1-BA81-3B21FAFF977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623-48EA-887D-7513D8DCACA0}"/>
                </c:ext>
              </c:extLst>
            </c:dLbl>
            <c:dLbl>
              <c:idx val="4"/>
              <c:layout>
                <c:manualLayout>
                  <c:x val="-0.17222222222222228"/>
                  <c:y val="4.1666666666666664E-2"/>
                </c:manualLayout>
              </c:layout>
              <c:tx>
                <c:rich>
                  <a:bodyPr/>
                  <a:lstStyle/>
                  <a:p>
                    <a:fld id="{61175E02-73D1-4839-96D1-752166CE6FA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623-48EA-887D-7513D8DCACA0}"/>
                </c:ext>
              </c:extLst>
            </c:dLbl>
            <c:dLbl>
              <c:idx val="5"/>
              <c:layout>
                <c:manualLayout>
                  <c:x val="-3.888888888888889E-2"/>
                  <c:y val="5.5555555555555552E-2"/>
                </c:manualLayout>
              </c:layout>
              <c:tx>
                <c:rich>
                  <a:bodyPr/>
                  <a:lstStyle/>
                  <a:p>
                    <a:fld id="{32890AAA-C68E-40AE-BDA4-B787C2F00A5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623-48EA-887D-7513D8DCAC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rgbClr val="B0B0B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zone_summary_table_2021!$B$2:$B$7</c:f>
              <c:numCache>
                <c:formatCode>General</c:formatCode>
                <c:ptCount val="6"/>
                <c:pt idx="0">
                  <c:v>49.9</c:v>
                </c:pt>
                <c:pt idx="1">
                  <c:v>72</c:v>
                </c:pt>
                <c:pt idx="2">
                  <c:v>75.8</c:v>
                </c:pt>
                <c:pt idx="3">
                  <c:v>36.9</c:v>
                </c:pt>
                <c:pt idx="4">
                  <c:v>39.299999999999997</c:v>
                </c:pt>
                <c:pt idx="5">
                  <c:v>42.5</c:v>
                </c:pt>
              </c:numCache>
            </c:numRef>
          </c:xVal>
          <c:yVal>
            <c:numRef>
              <c:f>zone_summary_table_2021!$C$2:$C$7</c:f>
              <c:numCache>
                <c:formatCode>General</c:formatCode>
                <c:ptCount val="6"/>
                <c:pt idx="0">
                  <c:v>30.5</c:v>
                </c:pt>
                <c:pt idx="1">
                  <c:v>50.8</c:v>
                </c:pt>
                <c:pt idx="2">
                  <c:v>54.6</c:v>
                </c:pt>
                <c:pt idx="3">
                  <c:v>29.5</c:v>
                </c:pt>
                <c:pt idx="4">
                  <c:v>23.7</c:v>
                </c:pt>
                <c:pt idx="5">
                  <c:v>22.2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zone_summary_table_2021!$A$2:$A$7</c15:f>
                <c15:dlblRangeCache>
                  <c:ptCount val="6"/>
                  <c:pt idx="0">
                    <c:v>North Central</c:v>
                  </c:pt>
                  <c:pt idx="1">
                    <c:v>North East</c:v>
                  </c:pt>
                  <c:pt idx="2">
                    <c:v>North West</c:v>
                  </c:pt>
                  <c:pt idx="3">
                    <c:v>South East</c:v>
                  </c:pt>
                  <c:pt idx="4">
                    <c:v>South South</c:v>
                  </c:pt>
                  <c:pt idx="5">
                    <c:v>South 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6623-48EA-887D-7513D8DCA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792512"/>
        <c:axId val="1636803552"/>
      </c:scatterChart>
      <c:valAx>
        <c:axId val="163679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ITN Ownership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03552"/>
        <c:crosses val="autoZero"/>
        <c:crossBetween val="midCat"/>
      </c:valAx>
      <c:valAx>
        <c:axId val="163680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ITN</a:t>
                </a:r>
                <a:r>
                  <a:rPr lang="en-IN" baseline="0"/>
                  <a:t> Usage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9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365760</xdr:colOff>
      <xdr:row>2</xdr:row>
      <xdr:rowOff>3810</xdr:rowOff>
    </xdr:from>
    <xdr:to>
      <xdr:col>8</xdr:col>
      <xdr:colOff>60960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D5772B-B52B-4A55-8A0B-E973CC8EA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179070</xdr:colOff>
      <xdr:row>2</xdr:row>
      <xdr:rowOff>7620</xdr:rowOff>
    </xdr:from>
    <xdr:to>
      <xdr:col>16</xdr:col>
      <xdr:colOff>483870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6FEB99-3421-4F11-8A09-192E149EE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17</xdr:col>
      <xdr:colOff>601980</xdr:colOff>
      <xdr:row>2</xdr:row>
      <xdr:rowOff>0</xdr:rowOff>
    </xdr:from>
    <xdr:to>
      <xdr:col>25</xdr:col>
      <xdr:colOff>297180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FFB434-F76C-4C1E-8347-CBAC88875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C93B-04D9-4D13-BB88-759F51C59CAD}">
  <dimension ref="A1:N9"/>
  <sheetViews>
    <sheetView workbookViewId="0">
      <selection activeCell="L2" sqref="L2"/>
    </sheetView>
  </sheetViews>
  <sheetFormatPr defaultRowHeight="14.4" x14ac:dyDescent="0.3"/>
  <cols>
    <col min="1" max="1" width="12.77734375" bestFit="1" customWidth="1"/>
    <col min="2" max="2" width="9.88671875" customWidth="1"/>
    <col min="5" max="7" width="11.21875" bestFit="1" customWidth="1"/>
    <col min="8" max="8" width="10.77734375" customWidth="1"/>
    <col min="9" max="9" width="10.33203125" customWidth="1"/>
    <col min="10" max="10" width="19.88671875" style="1" customWidth="1"/>
    <col min="11" max="11" width="10.21875" style="1" customWidth="1"/>
    <col min="12" max="12" width="12.6640625" style="1" customWidth="1"/>
    <col min="13" max="13" width="9.77734375" style="1" customWidth="1"/>
    <col min="14" max="14" width="19.44140625" customWidth="1"/>
  </cols>
  <sheetData>
    <row r="1" spans="1:14" s="1" customFormat="1" ht="57.6" x14ac:dyDescent="0.3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37</v>
      </c>
      <c r="K1" s="3" t="s">
        <v>52</v>
      </c>
      <c r="L1" s="3" t="s">
        <v>50</v>
      </c>
      <c r="M1" s="3" t="s">
        <v>51</v>
      </c>
      <c r="N1" s="3" t="s">
        <v>28</v>
      </c>
    </row>
    <row r="2" spans="1:14" ht="57.6" x14ac:dyDescent="0.3">
      <c r="A2" s="8" t="s">
        <v>4</v>
      </c>
      <c r="B2" s="8">
        <v>49.9</v>
      </c>
      <c r="C2" s="8">
        <v>30.5</v>
      </c>
      <c r="D2" s="8">
        <v>19.399999999999999</v>
      </c>
      <c r="E2" s="9">
        <v>7750000</v>
      </c>
      <c r="F2" s="9">
        <v>2363750</v>
      </c>
      <c r="G2" s="9">
        <v>3867250</v>
      </c>
      <c r="H2" s="9">
        <v>1503500</v>
      </c>
      <c r="I2" s="8" t="s">
        <v>30</v>
      </c>
      <c r="J2" s="11" t="s">
        <v>38</v>
      </c>
      <c r="K2" s="16">
        <v>5.5</v>
      </c>
      <c r="L2" s="11">
        <v>21312500</v>
      </c>
      <c r="M2" s="15">
        <v>14.175257731958762</v>
      </c>
      <c r="N2" s="11" t="s">
        <v>44</v>
      </c>
    </row>
    <row r="3" spans="1:14" ht="57.6" x14ac:dyDescent="0.3">
      <c r="A3" s="8" t="s">
        <v>5</v>
      </c>
      <c r="B3" s="8">
        <v>72</v>
      </c>
      <c r="C3" s="8">
        <v>50.8</v>
      </c>
      <c r="D3" s="8">
        <v>21.2</v>
      </c>
      <c r="E3" s="9">
        <v>4650000</v>
      </c>
      <c r="F3" s="9">
        <v>2362200</v>
      </c>
      <c r="G3" s="9">
        <v>3348000</v>
      </c>
      <c r="H3" s="9">
        <v>985800</v>
      </c>
      <c r="I3" s="8" t="s">
        <v>30</v>
      </c>
      <c r="J3" s="11" t="s">
        <v>39</v>
      </c>
      <c r="K3" s="16">
        <v>5.5</v>
      </c>
      <c r="L3" s="11">
        <v>12787500</v>
      </c>
      <c r="M3" s="15">
        <v>12.971698113207546</v>
      </c>
      <c r="N3" s="11" t="s">
        <v>44</v>
      </c>
    </row>
    <row r="4" spans="1:14" ht="57.6" x14ac:dyDescent="0.3">
      <c r="A4" s="8" t="s">
        <v>6</v>
      </c>
      <c r="B4" s="8">
        <v>75.8</v>
      </c>
      <c r="C4" s="8">
        <v>54.6</v>
      </c>
      <c r="D4" s="8">
        <v>21.2</v>
      </c>
      <c r="E4" s="9">
        <v>5270000</v>
      </c>
      <c r="F4" s="9">
        <v>2877420</v>
      </c>
      <c r="G4" s="9">
        <v>3994660</v>
      </c>
      <c r="H4" s="9">
        <v>1117240</v>
      </c>
      <c r="I4" s="8" t="s">
        <v>30</v>
      </c>
      <c r="J4" s="11" t="s">
        <v>40</v>
      </c>
      <c r="K4" s="16">
        <v>5.5</v>
      </c>
      <c r="L4" s="11">
        <v>14492500</v>
      </c>
      <c r="M4" s="15">
        <v>12.971698113207546</v>
      </c>
      <c r="N4" s="11" t="s">
        <v>44</v>
      </c>
    </row>
    <row r="5" spans="1:14" ht="57.6" x14ac:dyDescent="0.3">
      <c r="A5" s="8" t="s">
        <v>7</v>
      </c>
      <c r="B5" s="8">
        <v>36.9</v>
      </c>
      <c r="C5" s="8">
        <v>29.5</v>
      </c>
      <c r="D5" s="8">
        <v>7.4</v>
      </c>
      <c r="E5" s="9">
        <v>5270000</v>
      </c>
      <c r="F5" s="9">
        <v>1554650</v>
      </c>
      <c r="G5" s="9">
        <v>1944630</v>
      </c>
      <c r="H5" s="9">
        <v>389980</v>
      </c>
      <c r="I5" s="8" t="s">
        <v>30</v>
      </c>
      <c r="J5" s="11" t="s">
        <v>41</v>
      </c>
      <c r="K5" s="16">
        <v>5.5</v>
      </c>
      <c r="L5" s="11">
        <v>14492500</v>
      </c>
      <c r="M5" s="15">
        <v>37.162162162162161</v>
      </c>
      <c r="N5" s="11" t="s">
        <v>44</v>
      </c>
    </row>
    <row r="6" spans="1:14" ht="57.6" x14ac:dyDescent="0.3">
      <c r="A6" s="8" t="s">
        <v>8</v>
      </c>
      <c r="B6" s="8">
        <v>39.299999999999997</v>
      </c>
      <c r="C6" s="8">
        <v>23.7</v>
      </c>
      <c r="D6" s="8">
        <v>15.6</v>
      </c>
      <c r="E6" s="9">
        <v>4030000</v>
      </c>
      <c r="F6" s="9">
        <v>955110</v>
      </c>
      <c r="G6" s="9">
        <v>1583790</v>
      </c>
      <c r="H6" s="9">
        <v>628680</v>
      </c>
      <c r="I6" s="8" t="s">
        <v>30</v>
      </c>
      <c r="J6" s="11" t="s">
        <v>42</v>
      </c>
      <c r="K6" s="16">
        <v>5.5</v>
      </c>
      <c r="L6" s="11">
        <v>11082500</v>
      </c>
      <c r="M6" s="15">
        <v>17.628205128205128</v>
      </c>
      <c r="N6" s="11" t="s">
        <v>44</v>
      </c>
    </row>
    <row r="7" spans="1:14" ht="57.6" x14ac:dyDescent="0.3">
      <c r="A7" s="8" t="s">
        <v>9</v>
      </c>
      <c r="B7" s="8">
        <v>42.5</v>
      </c>
      <c r="C7" s="8">
        <v>22.2</v>
      </c>
      <c r="D7" s="8">
        <v>20.3</v>
      </c>
      <c r="E7" s="9">
        <v>4030000</v>
      </c>
      <c r="F7" s="9">
        <v>894660</v>
      </c>
      <c r="G7" s="9">
        <v>1712750</v>
      </c>
      <c r="H7" s="9">
        <v>818090</v>
      </c>
      <c r="I7" s="8" t="s">
        <v>30</v>
      </c>
      <c r="J7" s="11" t="s">
        <v>43</v>
      </c>
      <c r="K7" s="16">
        <v>5.5</v>
      </c>
      <c r="L7" s="11">
        <v>11082500</v>
      </c>
      <c r="M7" s="15">
        <v>13.546798029556649</v>
      </c>
      <c r="N7" s="11" t="s">
        <v>44</v>
      </c>
    </row>
    <row r="8" spans="1:14" x14ac:dyDescent="0.3">
      <c r="A8" s="10" t="s">
        <v>29</v>
      </c>
      <c r="B8" s="8"/>
      <c r="C8" s="8"/>
      <c r="D8" s="8"/>
      <c r="E8" s="9">
        <f>SUM(E2:E7)</f>
        <v>31000000</v>
      </c>
      <c r="F8" s="9">
        <f>SUM(F2:F7)</f>
        <v>11007790</v>
      </c>
      <c r="G8" s="9">
        <f>SUM(G2:G7)</f>
        <v>16451080</v>
      </c>
      <c r="H8" s="9">
        <f>SUM(H2:H7)</f>
        <v>5443290</v>
      </c>
      <c r="I8" s="8"/>
      <c r="J8" s="11"/>
      <c r="K8" s="11"/>
      <c r="L8" s="11"/>
      <c r="M8" s="11"/>
      <c r="N8" s="8"/>
    </row>
    <row r="9" spans="1:14" x14ac:dyDescent="0.3">
      <c r="F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F0E4-90D1-4999-8689-6E78A1C6393C}">
  <dimension ref="A1"/>
  <sheetViews>
    <sheetView showGridLines="0"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BCB5-D8B0-4698-B84E-590234B84EB5}">
  <dimension ref="A1:Q8"/>
  <sheetViews>
    <sheetView zoomScaleNormal="100" workbookViewId="0">
      <pane ySplit="1" topLeftCell="A2" activePane="bottomLeft" state="frozen"/>
      <selection pane="bottomLeft" activeCell="M1" sqref="M1"/>
    </sheetView>
  </sheetViews>
  <sheetFormatPr defaultRowHeight="14.4" x14ac:dyDescent="0.3"/>
  <cols>
    <col min="1" max="1" width="12.109375" style="5" bestFit="1" customWidth="1"/>
    <col min="2" max="4" width="8.88671875" style="5"/>
    <col min="5" max="8" width="12.33203125" style="5" bestFit="1" customWidth="1"/>
    <col min="9" max="9" width="8.88671875" style="5"/>
    <col min="10" max="10" width="24.5546875" style="6" customWidth="1"/>
    <col min="11" max="12" width="8.88671875" style="5"/>
    <col min="13" max="13" width="12.6640625" style="5" customWidth="1"/>
    <col min="14" max="16" width="8.88671875" style="5"/>
    <col min="17" max="17" width="24" style="5" customWidth="1"/>
    <col min="18" max="16384" width="8.88671875" style="5"/>
  </cols>
  <sheetData>
    <row r="1" spans="1:17" s="2" customFormat="1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15</v>
      </c>
      <c r="J1" s="2" t="s">
        <v>16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17</v>
      </c>
      <c r="P1" s="2" t="s">
        <v>18</v>
      </c>
      <c r="Q1" s="2" t="s">
        <v>14</v>
      </c>
    </row>
    <row r="2" spans="1:17" ht="86.4" x14ac:dyDescent="0.3">
      <c r="A2" s="5" t="s">
        <v>4</v>
      </c>
      <c r="B2" s="5">
        <v>49.9</v>
      </c>
      <c r="C2" s="5">
        <v>30.5</v>
      </c>
      <c r="D2" s="5">
        <v>19.399999999999999</v>
      </c>
      <c r="E2" s="7">
        <f>O2*P2</f>
        <v>7750000</v>
      </c>
      <c r="F2" s="7">
        <f>(E2*C2)/100</f>
        <v>2363750</v>
      </c>
      <c r="G2" s="7">
        <f>(E2*B2)/100</f>
        <v>3867250</v>
      </c>
      <c r="H2" s="7">
        <f>G2-F2</f>
        <v>1503500</v>
      </c>
      <c r="I2" s="5" t="s">
        <v>30</v>
      </c>
      <c r="J2" s="6" t="s">
        <v>31</v>
      </c>
      <c r="K2" s="14">
        <v>5.5</v>
      </c>
      <c r="L2" s="5">
        <v>0.5</v>
      </c>
      <c r="M2" s="7">
        <f>E2*L2*K2</f>
        <v>21312500</v>
      </c>
      <c r="N2" s="13">
        <f>M2/H2</f>
        <v>14.175257731958762</v>
      </c>
      <c r="O2" s="5">
        <v>31000000</v>
      </c>
      <c r="P2" s="5">
        <v>0.25</v>
      </c>
      <c r="Q2" s="6" t="s">
        <v>49</v>
      </c>
    </row>
    <row r="3" spans="1:17" ht="86.4" x14ac:dyDescent="0.3">
      <c r="A3" s="5" t="s">
        <v>5</v>
      </c>
      <c r="B3" s="5">
        <v>72</v>
      </c>
      <c r="C3" s="5">
        <v>50.8</v>
      </c>
      <c r="D3" s="5">
        <v>21.2</v>
      </c>
      <c r="E3" s="7">
        <f>O3*P3</f>
        <v>4650000</v>
      </c>
      <c r="F3" s="7">
        <f t="shared" ref="F3:F7" si="0">(E3*C3)/100</f>
        <v>2362200</v>
      </c>
      <c r="G3" s="7">
        <f t="shared" ref="G3:G7" si="1">(E3*B3)/100</f>
        <v>3348000</v>
      </c>
      <c r="H3" s="7">
        <f t="shared" ref="H3:H7" si="2">G3-F3</f>
        <v>985800</v>
      </c>
      <c r="I3" s="5" t="s">
        <v>30</v>
      </c>
      <c r="J3" s="6" t="s">
        <v>32</v>
      </c>
      <c r="K3" s="14">
        <v>5.5</v>
      </c>
      <c r="L3" s="5">
        <v>0.5</v>
      </c>
      <c r="M3" s="7">
        <f>E3*L3*K3</f>
        <v>12787500</v>
      </c>
      <c r="N3" s="13">
        <f>M3/H3</f>
        <v>12.971698113207546</v>
      </c>
      <c r="O3" s="5">
        <v>31000000</v>
      </c>
      <c r="P3" s="5">
        <v>0.15</v>
      </c>
      <c r="Q3" s="6" t="s">
        <v>49</v>
      </c>
    </row>
    <row r="4" spans="1:17" ht="86.4" x14ac:dyDescent="0.3">
      <c r="A4" s="5" t="s">
        <v>6</v>
      </c>
      <c r="B4" s="5">
        <v>75.8</v>
      </c>
      <c r="C4" s="5">
        <v>54.6</v>
      </c>
      <c r="D4" s="5">
        <v>21.2</v>
      </c>
      <c r="E4" s="7">
        <f>O4*P4</f>
        <v>5270000</v>
      </c>
      <c r="F4" s="7">
        <f t="shared" si="0"/>
        <v>2877420</v>
      </c>
      <c r="G4" s="7">
        <f t="shared" si="1"/>
        <v>3994660</v>
      </c>
      <c r="H4" s="7">
        <f t="shared" si="2"/>
        <v>1117240</v>
      </c>
      <c r="I4" s="5" t="s">
        <v>30</v>
      </c>
      <c r="J4" s="6" t="s">
        <v>33</v>
      </c>
      <c r="K4" s="14">
        <v>5.5</v>
      </c>
      <c r="L4" s="5">
        <v>0.5</v>
      </c>
      <c r="M4" s="7">
        <f>E4*L4*K4</f>
        <v>14492500</v>
      </c>
      <c r="N4" s="13">
        <f>M4/H4</f>
        <v>12.971698113207546</v>
      </c>
      <c r="O4" s="5">
        <v>31000000</v>
      </c>
      <c r="P4" s="5">
        <v>0.17</v>
      </c>
      <c r="Q4" s="6" t="s">
        <v>49</v>
      </c>
    </row>
    <row r="5" spans="1:17" ht="86.4" x14ac:dyDescent="0.3">
      <c r="A5" s="5" t="s">
        <v>7</v>
      </c>
      <c r="B5" s="5">
        <v>36.9</v>
      </c>
      <c r="C5" s="5">
        <v>29.5</v>
      </c>
      <c r="D5" s="5">
        <v>7.4</v>
      </c>
      <c r="E5" s="7">
        <f>O5*P5</f>
        <v>5270000</v>
      </c>
      <c r="F5" s="7">
        <f t="shared" si="0"/>
        <v>1554650</v>
      </c>
      <c r="G5" s="7">
        <f t="shared" si="1"/>
        <v>1944630</v>
      </c>
      <c r="H5" s="7">
        <f t="shared" si="2"/>
        <v>389980</v>
      </c>
      <c r="I5" s="5" t="s">
        <v>30</v>
      </c>
      <c r="J5" s="6" t="s">
        <v>36</v>
      </c>
      <c r="K5" s="14">
        <v>5.5</v>
      </c>
      <c r="L5" s="5">
        <v>0.5</v>
      </c>
      <c r="M5" s="7">
        <f>E5*L5*K5</f>
        <v>14492500</v>
      </c>
      <c r="N5" s="13">
        <f>M5/H5</f>
        <v>37.162162162162161</v>
      </c>
      <c r="O5" s="5">
        <v>31000000</v>
      </c>
      <c r="P5" s="5">
        <v>0.17</v>
      </c>
      <c r="Q5" s="6" t="s">
        <v>49</v>
      </c>
    </row>
    <row r="6" spans="1:17" ht="86.4" x14ac:dyDescent="0.3">
      <c r="A6" s="5" t="s">
        <v>8</v>
      </c>
      <c r="B6" s="5">
        <v>39.299999999999997</v>
      </c>
      <c r="C6" s="5">
        <v>23.7</v>
      </c>
      <c r="D6" s="5">
        <v>15.6</v>
      </c>
      <c r="E6" s="7">
        <f>O6*P6</f>
        <v>4030000</v>
      </c>
      <c r="F6" s="7">
        <f t="shared" si="0"/>
        <v>955110</v>
      </c>
      <c r="G6" s="7">
        <f t="shared" si="1"/>
        <v>1583790</v>
      </c>
      <c r="H6" s="7">
        <f t="shared" si="2"/>
        <v>628680</v>
      </c>
      <c r="I6" s="5" t="s">
        <v>30</v>
      </c>
      <c r="J6" s="6" t="s">
        <v>34</v>
      </c>
      <c r="K6" s="14">
        <v>5.5</v>
      </c>
      <c r="L6" s="5">
        <v>0.5</v>
      </c>
      <c r="M6" s="7">
        <f>E6*L6*K6</f>
        <v>11082500</v>
      </c>
      <c r="N6" s="13">
        <f>M6/H6</f>
        <v>17.628205128205128</v>
      </c>
      <c r="O6" s="5">
        <v>31000000</v>
      </c>
      <c r="P6" s="5">
        <v>0.13</v>
      </c>
      <c r="Q6" s="6" t="s">
        <v>49</v>
      </c>
    </row>
    <row r="7" spans="1:17" ht="86.4" x14ac:dyDescent="0.3">
      <c r="A7" s="5" t="s">
        <v>9</v>
      </c>
      <c r="B7" s="5">
        <v>42.5</v>
      </c>
      <c r="C7" s="5">
        <v>22.2</v>
      </c>
      <c r="D7" s="5">
        <v>20.3</v>
      </c>
      <c r="E7" s="7">
        <f>O7*P7</f>
        <v>4030000</v>
      </c>
      <c r="F7" s="7">
        <f t="shared" si="0"/>
        <v>894660</v>
      </c>
      <c r="G7" s="7">
        <f t="shared" si="1"/>
        <v>1712750</v>
      </c>
      <c r="H7" s="7">
        <f t="shared" si="2"/>
        <v>818090</v>
      </c>
      <c r="I7" s="5" t="s">
        <v>30</v>
      </c>
      <c r="J7" s="6" t="s">
        <v>35</v>
      </c>
      <c r="K7" s="14">
        <v>5.5</v>
      </c>
      <c r="L7" s="5">
        <v>0.5</v>
      </c>
      <c r="M7" s="7">
        <f>E7*L7*K7</f>
        <v>11082500</v>
      </c>
      <c r="N7" s="13">
        <f>M7/H7</f>
        <v>13.546798029556649</v>
      </c>
      <c r="O7" s="5">
        <v>31000000</v>
      </c>
      <c r="P7" s="5">
        <v>0.13</v>
      </c>
      <c r="Q7" s="6" t="s">
        <v>49</v>
      </c>
    </row>
    <row r="8" spans="1:17" x14ac:dyDescent="0.3">
      <c r="A8" s="5" t="s">
        <v>29</v>
      </c>
      <c r="B8" s="13">
        <f>SUMPRODUCT(B2:B7, E2:E7)/SUM(E2:E7)</f>
        <v>53.067999999999998</v>
      </c>
      <c r="C8" s="13">
        <f>SUMPRODUCT(C2:C7, E2:E7)/SUM(E2:E7)</f>
        <v>35.509</v>
      </c>
      <c r="D8" s="13">
        <f>B8-C8</f>
        <v>17.558999999999997</v>
      </c>
      <c r="E8" s="12">
        <f>SUM(E2:E7)</f>
        <v>31000000</v>
      </c>
      <c r="F8" s="12">
        <f>SUM(F2:F7)</f>
        <v>11007790</v>
      </c>
      <c r="G8" s="12">
        <f>SUM(G2:G7)</f>
        <v>16451080</v>
      </c>
      <c r="H8" s="12">
        <f>SUM(H2:H7)</f>
        <v>5443290</v>
      </c>
    </row>
  </sheetData>
  <conditionalFormatting sqref="B2:C7">
    <cfRule type="expression" dxfId="3" priority="4">
      <formula>$C2&gt;$B2</formula>
    </cfRule>
  </conditionalFormatting>
  <conditionalFormatting sqref="B2:D7">
    <cfRule type="cellIs" dxfId="2" priority="1" operator="greaterThan">
      <formula>100</formula>
    </cfRule>
    <cfRule type="cellIs" dxfId="1" priority="2" operator="lessThan">
      <formula>0</formula>
    </cfRule>
  </conditionalFormatting>
  <conditionalFormatting sqref="F2:G7">
    <cfRule type="expression" dxfId="0" priority="3">
      <formula>$F2&gt;$G2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zone_summary_table_2021</vt:lpstr>
      <vt:lpstr>zone_visuals_2021</vt:lpstr>
      <vt:lpstr>zone_metrics_2021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 Joshi</cp:lastModifiedBy>
  <dcterms:created xsi:type="dcterms:W3CDTF">2025-12-02T22:18:35Z</dcterms:created>
  <dcterms:modified xsi:type="dcterms:W3CDTF">2025-12-05T09:18:37Z</dcterms:modified>
</cp:coreProperties>
</file>