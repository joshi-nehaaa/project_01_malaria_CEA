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ha\UK\Jobs\Skills\Portfolio\project_01_malaria_CEA\analysis\"/>
    </mc:Choice>
  </mc:AlternateContent>
  <xr:revisionPtr revIDLastSave="0" documentId="13_ncr:1_{18E069B5-FC9E-43BB-8B8F-7D27524CA8E0}" xr6:coauthVersionLast="47" xr6:coauthVersionMax="47" xr10:uidLastSave="{00000000-0000-0000-0000-000000000000}"/>
  <bookViews>
    <workbookView xWindow="-108" yWindow="-108" windowWidth="23256" windowHeight="12456" xr2:uid="{77F6BC26-A1EF-4C2D-B74F-459D05D45568}"/>
  </bookViews>
  <sheets>
    <sheet name="executive_summary_2021" sheetId="10" r:id="rId1"/>
    <sheet name="dashboard_2021" sheetId="11" r:id="rId2"/>
    <sheet name="zone_summary_table_2021" sheetId="2" r:id="rId3"/>
    <sheet name="zone_visuals_2021" sheetId="3" r:id="rId4"/>
    <sheet name="zone_metrics_2021" sheetId="1" r:id="rId5"/>
    <sheet name="impact_visuals_2021" sheetId="7" r:id="rId6"/>
    <sheet name="impact_model_2021" sheetId="6" r:id="rId7"/>
    <sheet name="visualisation_helper" sheetId="8" r:id="rId8"/>
  </sheets>
  <definedNames>
    <definedName name="c_net">#REF!</definedName>
    <definedName name="daly_case">#REF!</definedName>
    <definedName name="eff_itn">#REF!</definedName>
    <definedName name="r_in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P8" i="1"/>
  <c r="H2" i="6"/>
  <c r="D3" i="8"/>
  <c r="D4" i="8"/>
  <c r="D5" i="8"/>
  <c r="D6" i="8"/>
  <c r="D7" i="8"/>
  <c r="C3" i="8"/>
  <c r="C4" i="8"/>
  <c r="C5" i="8"/>
  <c r="C6" i="8"/>
  <c r="C7" i="8"/>
  <c r="C2" i="8"/>
  <c r="M8" i="1"/>
  <c r="L3" i="6"/>
  <c r="N3" i="6"/>
  <c r="N4" i="6"/>
  <c r="N5" i="6"/>
  <c r="N6" i="6"/>
  <c r="N7" i="6"/>
  <c r="J7" i="6"/>
  <c r="J4" i="6"/>
  <c r="K3" i="6"/>
  <c r="M3" i="6" s="1"/>
  <c r="K4" i="6"/>
  <c r="K5" i="6"/>
  <c r="L5" i="6" s="1"/>
  <c r="K6" i="6"/>
  <c r="L6" i="6" s="1"/>
  <c r="K7" i="6"/>
  <c r="L7" i="6" s="1"/>
  <c r="K2" i="6"/>
  <c r="K8" i="6" s="1"/>
  <c r="C2" i="6"/>
  <c r="C8" i="6" s="1"/>
  <c r="D3" i="6"/>
  <c r="J3" i="6" s="1"/>
  <c r="D4" i="6"/>
  <c r="D5" i="6"/>
  <c r="J5" i="6" s="1"/>
  <c r="D6" i="6"/>
  <c r="J6" i="6" s="1"/>
  <c r="D7" i="6"/>
  <c r="C3" i="6"/>
  <c r="H3" i="6" s="1"/>
  <c r="I3" i="6" s="1"/>
  <c r="C4" i="6"/>
  <c r="H4" i="6" s="1"/>
  <c r="C5" i="6"/>
  <c r="H5" i="6" s="1"/>
  <c r="I5" i="6" s="1"/>
  <c r="C6" i="6"/>
  <c r="H6" i="6" s="1"/>
  <c r="I6" i="6" s="1"/>
  <c r="C7" i="6"/>
  <c r="H7" i="6" s="1"/>
  <c r="I7" i="6" s="1"/>
  <c r="B3" i="6"/>
  <c r="B8" i="6" s="1"/>
  <c r="B4" i="6"/>
  <c r="B5" i="6"/>
  <c r="B6" i="6"/>
  <c r="B7" i="6"/>
  <c r="B2" i="6"/>
  <c r="A3" i="6"/>
  <c r="A4" i="6"/>
  <c r="A5" i="6"/>
  <c r="A6" i="6"/>
  <c r="A7" i="6"/>
  <c r="A2" i="6"/>
  <c r="M2" i="1"/>
  <c r="C8" i="1"/>
  <c r="B8" i="1"/>
  <c r="D8" i="1" s="1"/>
  <c r="E3" i="1"/>
  <c r="F3" i="1" s="1"/>
  <c r="E4" i="1"/>
  <c r="F4" i="1" s="1"/>
  <c r="E5" i="1"/>
  <c r="F5" i="1" s="1"/>
  <c r="E6" i="1"/>
  <c r="F6" i="1" s="1"/>
  <c r="E7" i="1"/>
  <c r="F7" i="1" s="1"/>
  <c r="E2" i="1"/>
  <c r="F2" i="1" s="1"/>
  <c r="I4" i="6" l="1"/>
  <c r="L4" i="6"/>
  <c r="M4" i="6"/>
  <c r="M7" i="6"/>
  <c r="M6" i="6"/>
  <c r="M5" i="6"/>
  <c r="L2" i="6"/>
  <c r="D2" i="8" s="1"/>
  <c r="F8" i="1"/>
  <c r="M7" i="1"/>
  <c r="M6" i="1"/>
  <c r="E8" i="1"/>
  <c r="M3" i="1"/>
  <c r="N3" i="1" s="1"/>
  <c r="M5" i="1"/>
  <c r="M4" i="1"/>
  <c r="G5" i="1"/>
  <c r="H5" i="1" s="1"/>
  <c r="G2" i="1"/>
  <c r="G7" i="1"/>
  <c r="H7" i="1" s="1"/>
  <c r="N7" i="1" s="1"/>
  <c r="G6" i="1"/>
  <c r="H6" i="1" s="1"/>
  <c r="N6" i="1" s="1"/>
  <c r="G4" i="1"/>
  <c r="H4" i="1" s="1"/>
  <c r="G3" i="1"/>
  <c r="H3" i="1" s="1"/>
  <c r="I2" i="6" l="1"/>
  <c r="H8" i="6"/>
  <c r="L8" i="6" s="1"/>
  <c r="H2" i="1"/>
  <c r="D2" i="6" s="1"/>
  <c r="G8" i="1"/>
  <c r="N4" i="1"/>
  <c r="N5" i="1"/>
  <c r="D8" i="6" l="1"/>
  <c r="N8" i="6" s="1"/>
  <c r="J2" i="6"/>
  <c r="J8" i="6" s="1"/>
  <c r="I8" i="6"/>
  <c r="M8" i="6" s="1"/>
  <c r="M2" i="6"/>
  <c r="H8" i="1"/>
  <c r="N2" i="1"/>
  <c r="N2" i="6" s="1"/>
  <c r="O3" i="6" l="1"/>
  <c r="O4" i="6"/>
  <c r="O5" i="6"/>
  <c r="O6" i="6"/>
  <c r="O7" i="6"/>
  <c r="O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1" authorId="0" shapeId="0" xr:uid="{088F7793-C977-40AE-99E3-E74AE15E9C1F}">
      <text>
        <r>
          <rPr>
            <b/>
            <sz val="9"/>
            <color indexed="81"/>
            <rFont val="Tahoma"/>
            <family val="2"/>
          </rPr>
          <t xml:space="preserve">Neha: 
</t>
        </r>
        <r>
          <rPr>
            <sz val="9"/>
            <color indexed="81"/>
            <rFont val="Tahoma"/>
            <family val="2"/>
          </rPr>
          <t>1)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Aggregate Check 2021: National weighted ownership ≈ 60 %, usage ≈ 41 %, totals align with NMIS 2021; dataset internally consistent.
2) Qualitative patterns (eg: not needed, no mosquitors) explain gaps but not numerical equivalent.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1" authorId="0" shapeId="0" xr:uid="{B754308E-7100-4AE6-BE24-671F03FD33F1}">
      <text>
        <r>
          <rPr>
            <b/>
            <sz val="9"/>
            <color indexed="81"/>
            <rFont val="Tahoma"/>
            <family val="2"/>
          </rPr>
          <t>Neha: for data visualisations only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<sst xmlns="http://schemas.openxmlformats.org/spreadsheetml/2006/main" count="127" uniqueCount="78">
  <si>
    <t>zone</t>
  </si>
  <si>
    <t>itn_ownership_households_pct</t>
  </si>
  <si>
    <t>u5_itn_usage_pct</t>
  </si>
  <si>
    <t>usage_gap_pct</t>
  </si>
  <si>
    <t>North Central</t>
  </si>
  <si>
    <t>North East</t>
  </si>
  <si>
    <t>North West</t>
  </si>
  <si>
    <t>South East</t>
  </si>
  <si>
    <t>South South</t>
  </si>
  <si>
    <t>South West</t>
  </si>
  <si>
    <t>u5_population_estimate</t>
  </si>
  <si>
    <t>children_protected</t>
  </si>
  <si>
    <t>children_potentially_protected</t>
  </si>
  <si>
    <t>addl_children_if_gap_closed</t>
  </si>
  <si>
    <t>notes_source</t>
  </si>
  <si>
    <t>data_confidence</t>
  </si>
  <si>
    <t>qual_context_notes</t>
  </si>
  <si>
    <t>national_total</t>
  </si>
  <si>
    <t>zone_share</t>
  </si>
  <si>
    <t>Zone</t>
  </si>
  <si>
    <t>ITN Ownership (%)</t>
  </si>
  <si>
    <t>ITN Usage (%)</t>
  </si>
  <si>
    <t>Usage Gap (%)</t>
  </si>
  <si>
    <t>U5 Population Estimate</t>
  </si>
  <si>
    <t>Children Protected</t>
  </si>
  <si>
    <t>Children Potentially Protected</t>
  </si>
  <si>
    <t>Additional Children if Gap Closed</t>
  </si>
  <si>
    <t>Data Confidence</t>
  </si>
  <si>
    <t>Notes Source</t>
  </si>
  <si>
    <t>National Total</t>
  </si>
  <si>
    <t>High</t>
  </si>
  <si>
    <t>Moderate non-use (21.5%); driven by heat (22%) and no-mosquito perception (22%); lowest ‘not needed’ rate (16%) suggests awareness gains.</t>
  </si>
  <si>
    <t>Relatively low net non-use (17.3%); ‘not needed (26%)’ and ‘no mosquitoes (24%)’ indicate perceived lower risk</t>
  </si>
  <si>
    <t>Lowest net non-use (15.8%); main reasons ‘not needed (27%)’ and ‘old/torn nets (16%)’; usage limited by wear-and-tear.</t>
  </si>
  <si>
    <t>High non-use (43.8%); dominated by ‘too hot (28%)’ and ‘not needed (18%)’; climate discomfort major barrier.</t>
  </si>
  <si>
    <t>Highest non-use (46.6%); ‘not needed (22%)’ and ‘too hot (19%)’; reflect comfort and urban lifestyle factors.</t>
  </si>
  <si>
    <t>High net non-use (42.6%); key reasons ‘not needed (35%)’ and ‘too hot (23%)’; strong perception of low malaria risk.</t>
  </si>
  <si>
    <t>Qualitative Summary</t>
  </si>
  <si>
    <t>Heat and no-mosquito perception; relatively aware zone</t>
  </si>
  <si>
    <t>Low non-use; perceived low risk despite high ownership</t>
  </si>
  <si>
    <t>Low non-use; ageing nets limit usage</t>
  </si>
  <si>
    <t>High non-use; low perceived risk, too hot</t>
  </si>
  <si>
    <t>High non-use; heat and comfort barriers</t>
  </si>
  <si>
    <t>Highest non-use; comfort and urban lifestyle</t>
  </si>
  <si>
    <t>UN WPP 2021 (U5 pop); NMIS 2021 Table 3.8.1 (qual notes)</t>
  </si>
  <si>
    <t>est_cost_per_net_delivered_usd</t>
  </si>
  <si>
    <t>nets_needed_ratio</t>
  </si>
  <si>
    <t>est_total_cost_zone_usd</t>
  </si>
  <si>
    <t>cost_per_addl_child_protected_usd</t>
  </si>
  <si>
    <t>UN WPP 2021 (U5 pop); NMIS 2021 Table 3.8.1 (qual notes), PMI Nigeria Country Profile 2021; WHO World Malaria Report 2023 (LLIN unit cost ≈ $5.5)</t>
  </si>
  <si>
    <t xml:space="preserve">Estimated Total Cost </t>
  </si>
  <si>
    <t>Cost per Additional Child Protected</t>
  </si>
  <si>
    <t>Estimated Cost to Deliver per Net</t>
  </si>
  <si>
    <t>addln_children_if_gap_closed</t>
  </si>
  <si>
    <t>infection_rate_unprotected</t>
  </si>
  <si>
    <t>protective_efficacy</t>
  </si>
  <si>
    <t>daly_per_case</t>
  </si>
  <si>
    <t>cases_averted</t>
  </si>
  <si>
    <t>dalys_averted</t>
  </si>
  <si>
    <t>cost_per_case_averted</t>
  </si>
  <si>
    <t>cost_per_daly_averted</t>
  </si>
  <si>
    <t>WHO WMR 2023 (infection rate); Cochrane 2004 (efficacy); GBD 2021 (DALY/case)</t>
  </si>
  <si>
    <t>cases_averted_if_gap_closed</t>
  </si>
  <si>
    <t>cost_per_addln_child_protected_usd</t>
  </si>
  <si>
    <t>Cost per Case Averted</t>
  </si>
  <si>
    <t>rank_cost_effectiveness</t>
  </si>
  <si>
    <r>
      <t>Cost-Effectiveness of ITN Distribution - Nigeria 2021</t>
    </r>
    <r>
      <rPr>
        <sz val="11"/>
        <color theme="1"/>
        <rFont val="Calibri"/>
        <family val="2"/>
        <scheme val="minor"/>
      </rPr>
      <t xml:space="preserve">
Analysis of ITN ownership, usage and impact among children under 5 across 6 geopolitical zones
</t>
    </r>
    <r>
      <rPr>
        <b/>
        <sz val="11"/>
        <color theme="1"/>
        <rFont val="Calibri"/>
        <family val="2"/>
        <scheme val="minor"/>
      </rPr>
      <t>Key Results</t>
    </r>
    <r>
      <rPr>
        <sz val="11"/>
        <color theme="1"/>
        <rFont val="Calibri"/>
        <family val="2"/>
        <scheme val="minor"/>
      </rPr>
      <t xml:space="preserve">
Average Cost per DALY Averted ≈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$3098
Average Cost per Case Averted ≈ $62
Total DALYs Averted ≈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27519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Most Cost-Effective Zone: North West
Least Cost-Effective Zone: South West</t>
    </r>
  </si>
  <si>
    <t>Executive Summary - Insecticide Treated Nets (ITN) Cost-Effectiveness (Nigeria 2021)</t>
  </si>
  <si>
    <r>
      <t xml:space="preserve">Insights &amp; Implications
High usage drives efficiency: </t>
    </r>
    <r>
      <rPr>
        <sz val="11"/>
        <color theme="1"/>
        <rFont val="Calibri"/>
        <family val="2"/>
        <scheme val="minor"/>
      </rPr>
      <t xml:space="preserve">Northern zones (especially North West &amp; North East) achieve lower cost per DALY due to stronger adoption.
</t>
    </r>
    <r>
      <rPr>
        <b/>
        <sz val="11"/>
        <color theme="1"/>
        <rFont val="Calibri"/>
        <family val="2"/>
        <scheme val="minor"/>
      </rPr>
      <t>Behavioural barriers:</t>
    </r>
    <r>
      <rPr>
        <sz val="11"/>
        <color theme="1"/>
        <rFont val="Calibri"/>
        <family val="2"/>
        <scheme val="minor"/>
      </rPr>
      <t xml:space="preserve"> Southern zones show very higher cost per DALY implying lower usage despite access - impacting the program efficiency.
</t>
    </r>
    <r>
      <rPr>
        <b/>
        <sz val="11"/>
        <color theme="1"/>
        <rFont val="Calibri"/>
        <family val="2"/>
        <scheme val="minor"/>
      </rPr>
      <t>Shifting focus:</t>
    </r>
    <r>
      <rPr>
        <sz val="11"/>
        <color theme="1"/>
        <rFont val="Calibri"/>
        <family val="2"/>
        <scheme val="minor"/>
      </rPr>
      <t xml:space="preserve"> behaviour change and maintenance campaigns could yield higher impact than distributing additional nets
</t>
    </r>
    <r>
      <rPr>
        <b/>
        <sz val="11"/>
        <color theme="1"/>
        <rFont val="Calibri"/>
        <family val="2"/>
        <scheme val="minor"/>
      </rPr>
      <t>Overall conclusion:</t>
    </r>
    <r>
      <rPr>
        <sz val="11"/>
        <color theme="1"/>
        <rFont val="Calibri"/>
        <family val="2"/>
        <scheme val="minor"/>
      </rPr>
      <t xml:space="preserve"> ITN distribution remains a highly cost-effective malaria intervention for Nigeria</t>
    </r>
  </si>
  <si>
    <r>
      <t xml:space="preserve">Data Sources
</t>
    </r>
    <r>
      <rPr>
        <sz val="11"/>
        <color theme="1"/>
        <rFont val="Calibri"/>
        <family val="2"/>
        <scheme val="minor"/>
      </rPr>
      <t xml:space="preserve">NMIS 2021: ITN ownership &amp; usage, qualitative barriers (non-use reasons), malaria prevalence rates
UN WPP 2021: Population under 5
GBD 2019: DALY per case
</t>
    </r>
    <r>
      <rPr>
        <b/>
        <sz val="11"/>
        <color theme="1"/>
        <rFont val="Calibri"/>
        <family val="2"/>
        <scheme val="minor"/>
      </rPr>
      <t>Assumptions</t>
    </r>
    <r>
      <rPr>
        <sz val="11"/>
        <color theme="1"/>
        <rFont val="Calibri"/>
        <family val="2"/>
        <scheme val="minor"/>
      </rPr>
      <t xml:space="preserve">
Cost per net delivered: $5.5 per net
Infection rate: 0.25 (25%)
Efficacy of ITN: 0.50 (1 net for every 2 people)
DALYs per case: 0.02
</t>
    </r>
  </si>
  <si>
    <r>
      <rPr>
        <b/>
        <sz val="14"/>
        <color theme="1"/>
        <rFont val="Calibri"/>
        <family val="2"/>
        <scheme val="minor"/>
      </rPr>
      <t>Cost-Effectiveness of ITN Distribution — Nigeria (2021 NMIS)</t>
    </r>
    <r>
      <rPr>
        <b/>
        <sz val="16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Executive Dashboard</t>
    </r>
  </si>
  <si>
    <t>Cost per DALY Averted</t>
  </si>
  <si>
    <t>Average Cost per DALY Averted
$3098</t>
  </si>
  <si>
    <t>Average Cost per Case Averted
$62</t>
  </si>
  <si>
    <t>Total DALYs Averted 
≈27,520</t>
  </si>
  <si>
    <t>Most Cost-Effective Zone
North West</t>
  </si>
  <si>
    <t>Average Usage Gap
≈17.6%</t>
  </si>
  <si>
    <r>
      <t xml:space="preserve">Key Insights &amp; Program Implications
High adoption drives cost-efficiency: </t>
    </r>
    <r>
      <rPr>
        <sz val="11"/>
        <color theme="1"/>
        <rFont val="Calibri"/>
        <family val="2"/>
        <scheme val="minor"/>
      </rPr>
      <t xml:space="preserve">Northern zones (North West, North East) achieve the lowest cost per DALY averted due to strong ITN usage and campaign reach.
</t>
    </r>
    <r>
      <rPr>
        <b/>
        <sz val="11"/>
        <color theme="1"/>
        <rFont val="Calibri"/>
        <family val="2"/>
        <scheme val="minor"/>
      </rPr>
      <t>Behavioral barriers reduce impact:</t>
    </r>
    <r>
      <rPr>
        <sz val="11"/>
        <color theme="1"/>
        <rFont val="Calibri"/>
        <family val="2"/>
        <scheme val="minor"/>
      </rPr>
      <t xml:space="preserve"> Southern zones (South West, South East) show higher ownership–usage gaps, often linked to heat, comfort, or perceived low malaria risk.
</t>
    </r>
    <r>
      <rPr>
        <b/>
        <sz val="11"/>
        <color theme="1"/>
        <rFont val="Calibri"/>
        <family val="2"/>
        <scheme val="minor"/>
      </rPr>
      <t>Future focus:</t>
    </r>
    <r>
      <rPr>
        <sz val="11"/>
        <color theme="1"/>
        <rFont val="Calibri"/>
        <family val="2"/>
        <scheme val="minor"/>
      </rPr>
      <t xml:space="preserve"> Integrating behavior-change communication and net maintenance programs in low-usage areas could yield the greatest marginal gains.
</t>
    </r>
    <r>
      <rPr>
        <b/>
        <sz val="11"/>
        <color theme="1"/>
        <rFont val="Calibri"/>
        <family val="2"/>
        <scheme val="minor"/>
      </rPr>
      <t>Program recommendation:</t>
    </r>
    <r>
      <rPr>
        <sz val="11"/>
        <color theme="1"/>
        <rFont val="Calibri"/>
        <family val="2"/>
        <scheme val="minor"/>
      </rPr>
      <t xml:space="preserve"> Maintain net distribution coverage while reallocating part of resources to community engagement and replacement of worn nets.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</si>
</sst>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_-[$$-409]* #,##0.00_ ;_-[$$-409]* \-#,##0.00\ ;_-[$$-409]* &quot;-&quot;??_ ;_-@_ "/>
    <numFmt numFmtId="166" formatCode="_-[$$-409]* #,##0_ ;_-[$$-409]* \-#,##0\ ;_-[$$-409]* &quot;-&quot;??_ ;_-@_ "/>
    <numFmt numFmtId="167" formatCode="_-[$$-409]* #,##0.0_ ;_-[$$-409]* \-#,##0.0\ ;_-[$$-409]* &quot;-&quot;??_ ;_-@_ "/>
    <numFmt numFmtId="168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0" xfId="0" applyBorder="1" applyAlignment="1">
      <alignment vertical="top"/>
    </xf>
    <xf numFmtId="164" fontId="0" fillId="0" borderId="10" xfId="42" applyNumberFormat="1" applyFont="1" applyBorder="1" applyAlignment="1">
      <alignment vertical="top"/>
    </xf>
    <xf numFmtId="0" fontId="16" fillId="0" borderId="10" xfId="0" applyFont="1" applyBorder="1" applyAlignment="1">
      <alignment vertical="top"/>
    </xf>
    <xf numFmtId="0" fontId="0" fillId="0" borderId="10" xfId="0" applyBorder="1" applyAlignment="1">
      <alignment vertical="top" wrapText="1"/>
    </xf>
    <xf numFmtId="165" fontId="0" fillId="0" borderId="0" xfId="0" applyNumberFormat="1"/>
    <xf numFmtId="166" fontId="0" fillId="0" borderId="0" xfId="0" applyNumberFormat="1" applyAlignment="1">
      <alignment vertical="top"/>
    </xf>
    <xf numFmtId="166" fontId="0" fillId="0" borderId="10" xfId="0" applyNumberFormat="1" applyBorder="1" applyAlignment="1">
      <alignment vertical="top" wrapText="1"/>
    </xf>
    <xf numFmtId="166" fontId="0" fillId="0" borderId="10" xfId="42" applyNumberFormat="1" applyFont="1" applyBorder="1" applyAlignment="1">
      <alignment vertical="top" wrapText="1"/>
    </xf>
    <xf numFmtId="168" fontId="0" fillId="0" borderId="10" xfId="0" applyNumberFormat="1" applyBorder="1" applyAlignment="1">
      <alignment vertical="top"/>
    </xf>
    <xf numFmtId="2" fontId="0" fillId="0" borderId="10" xfId="0" applyNumberFormat="1" applyBorder="1" applyAlignment="1">
      <alignment vertical="top"/>
    </xf>
    <xf numFmtId="167" fontId="0" fillId="0" borderId="10" xfId="0" applyNumberFormat="1" applyBorder="1" applyAlignment="1">
      <alignment vertical="top"/>
    </xf>
    <xf numFmtId="167" fontId="0" fillId="0" borderId="10" xfId="0" applyNumberFormat="1" applyBorder="1" applyAlignment="1">
      <alignment vertical="top" wrapText="1"/>
    </xf>
    <xf numFmtId="0" fontId="16" fillId="33" borderId="10" xfId="0" applyFont="1" applyFill="1" applyBorder="1" applyAlignment="1">
      <alignment horizontal="center" vertical="center" wrapText="1"/>
    </xf>
    <xf numFmtId="166" fontId="0" fillId="0" borderId="10" xfId="42" applyNumberFormat="1" applyFont="1" applyBorder="1" applyAlignment="1">
      <alignment vertical="top"/>
    </xf>
    <xf numFmtId="43" fontId="0" fillId="0" borderId="10" xfId="0" applyNumberFormat="1" applyBorder="1" applyAlignment="1">
      <alignment vertical="top"/>
    </xf>
    <xf numFmtId="164" fontId="0" fillId="0" borderId="10" xfId="0" applyNumberFormat="1" applyBorder="1" applyAlignment="1">
      <alignment vertical="top"/>
    </xf>
    <xf numFmtId="166" fontId="0" fillId="0" borderId="10" xfId="0" applyNumberFormat="1" applyBorder="1" applyAlignment="1">
      <alignment vertical="top"/>
    </xf>
    <xf numFmtId="167" fontId="0" fillId="0" borderId="10" xfId="43" applyNumberFormat="1" applyFont="1" applyBorder="1" applyAlignment="1">
      <alignment vertical="top"/>
    </xf>
    <xf numFmtId="0" fontId="16" fillId="0" borderId="10" xfId="0" applyFont="1" applyBorder="1"/>
    <xf numFmtId="164" fontId="0" fillId="0" borderId="10" xfId="0" applyNumberFormat="1" applyBorder="1"/>
    <xf numFmtId="166" fontId="0" fillId="0" borderId="10" xfId="0" applyNumberFormat="1" applyBorder="1"/>
    <xf numFmtId="0" fontId="0" fillId="0" borderId="10" xfId="0" applyBorder="1" applyAlignment="1">
      <alignment wrapText="1"/>
    </xf>
    <xf numFmtId="0" fontId="16" fillId="33" borderId="11" xfId="0" applyFont="1" applyFill="1" applyBorder="1" applyAlignment="1">
      <alignment horizontal="left" vertical="top" wrapText="1"/>
    </xf>
    <xf numFmtId="0" fontId="0" fillId="33" borderId="12" xfId="0" applyFill="1" applyBorder="1" applyAlignment="1">
      <alignment horizontal="left" vertical="top"/>
    </xf>
    <xf numFmtId="0" fontId="0" fillId="33" borderId="13" xfId="0" applyFill="1" applyBorder="1" applyAlignment="1">
      <alignment horizontal="left" vertical="top"/>
    </xf>
    <xf numFmtId="0" fontId="0" fillId="33" borderId="14" xfId="0" applyFill="1" applyBorder="1" applyAlignment="1">
      <alignment horizontal="left" vertical="top"/>
    </xf>
    <xf numFmtId="0" fontId="0" fillId="33" borderId="0" xfId="0" applyFill="1" applyAlignment="1">
      <alignment horizontal="left" vertical="top"/>
    </xf>
    <xf numFmtId="0" fontId="0" fillId="33" borderId="15" xfId="0" applyFill="1" applyBorder="1" applyAlignment="1">
      <alignment horizontal="left" vertical="top"/>
    </xf>
    <xf numFmtId="0" fontId="0" fillId="33" borderId="16" xfId="0" applyFill="1" applyBorder="1" applyAlignment="1">
      <alignment horizontal="left" vertical="top"/>
    </xf>
    <xf numFmtId="0" fontId="0" fillId="33" borderId="17" xfId="0" applyFill="1" applyBorder="1" applyAlignment="1">
      <alignment horizontal="left" vertical="top"/>
    </xf>
    <xf numFmtId="0" fontId="0" fillId="33" borderId="18" xfId="0" applyFill="1" applyBorder="1" applyAlignment="1">
      <alignment horizontal="left"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1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16" fillId="34" borderId="19" xfId="0" applyFont="1" applyFill="1" applyBorder="1" applyAlignment="1">
      <alignment horizontal="center"/>
    </xf>
    <xf numFmtId="0" fontId="16" fillId="34" borderId="20" xfId="0" applyFont="1" applyFill="1" applyBorder="1" applyAlignment="1">
      <alignment horizontal="center"/>
    </xf>
    <xf numFmtId="0" fontId="16" fillId="34" borderId="21" xfId="0" applyFont="1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0" xfId="0" applyBorder="1"/>
    <xf numFmtId="0" fontId="0" fillId="0" borderId="22" xfId="0" applyFill="1" applyBorder="1" applyAlignment="1">
      <alignment horizontal="center" vertical="center"/>
    </xf>
    <xf numFmtId="0" fontId="16" fillId="35" borderId="22" xfId="0" applyFont="1" applyFill="1" applyBorder="1" applyAlignment="1">
      <alignment horizontal="center" vertical="center" wrapText="1"/>
    </xf>
    <xf numFmtId="0" fontId="16" fillId="35" borderId="22" xfId="0" applyFont="1" applyFill="1" applyBorder="1" applyAlignment="1">
      <alignment horizontal="center" vertical="center"/>
    </xf>
    <xf numFmtId="0" fontId="16" fillId="0" borderId="0" xfId="0" applyFont="1"/>
    <xf numFmtId="0" fontId="16" fillId="36" borderId="22" xfId="0" applyFont="1" applyFill="1" applyBorder="1" applyAlignment="1">
      <alignment horizontal="left" vertical="top" wrapText="1"/>
    </xf>
    <xf numFmtId="0" fontId="20" fillId="34" borderId="22" xfId="0" applyFont="1" applyFill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2F2F2"/>
      <color rgb="FFD9D9D9"/>
      <color rgb="FFDAE3F3"/>
      <color rgb="FFFF9933"/>
      <color rgb="FF808000"/>
      <color rgb="FFBF9000"/>
      <color rgb="FFFF6600"/>
      <color rgb="FF336600"/>
      <color rgb="FFFF33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Cost-Effectiveness by Zone (Lower Cost = More Effective)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visualisation_helper!$B$1</c:f>
              <c:strCache>
                <c:ptCount val="1"/>
                <c:pt idx="0">
                  <c:v>cost_per_daly_averted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3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6-406C-A316-336D22E20402}"/>
              </c:ext>
            </c:extLst>
          </c:dPt>
          <c:dPt>
            <c:idx val="1"/>
            <c:invertIfNegative val="0"/>
            <c:bubble3D val="0"/>
            <c:spPr>
              <a:solidFill>
                <a:srgbClr val="8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6-406C-A316-336D22E20402}"/>
              </c:ext>
            </c:extLst>
          </c:dPt>
          <c:dPt>
            <c:idx val="2"/>
            <c:invertIfNegative val="0"/>
            <c:bubble3D val="0"/>
            <c:spPr>
              <a:solidFill>
                <a:srgbClr val="BF9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6-406C-A316-336D22E20402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36-406C-A316-336D22E20402}"/>
              </c:ext>
            </c:extLst>
          </c:dPt>
          <c:dPt>
            <c:idx val="4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C36-406C-A316-336D22E20402}"/>
              </c:ext>
            </c:extLst>
          </c:dPt>
          <c:dPt>
            <c:idx val="5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C36-406C-A316-336D22E204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visualisation_helper!$A$2:$A$7</c:f>
              <c:strCache>
                <c:ptCount val="6"/>
                <c:pt idx="0">
                  <c:v>North West</c:v>
                </c:pt>
                <c:pt idx="1">
                  <c:v>North East</c:v>
                </c:pt>
                <c:pt idx="2">
                  <c:v>North Central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visualisation_helper!$B$2:$B$7</c:f>
              <c:numCache>
                <c:formatCode>_-[$$-409]* #,##0_ ;_-[$$-409]* \-#,##0\ ;_-[$$-409]* "-"??_ ;_-@_ </c:formatCode>
                <c:ptCount val="6"/>
                <c:pt idx="0">
                  <c:v>2014.6520146520147</c:v>
                </c:pt>
                <c:pt idx="1">
                  <c:v>2165.3543307086616</c:v>
                </c:pt>
                <c:pt idx="2">
                  <c:v>3606.5573770491801</c:v>
                </c:pt>
                <c:pt idx="3">
                  <c:v>3728.8135593220341</c:v>
                </c:pt>
                <c:pt idx="4">
                  <c:v>4641.3502109704641</c:v>
                </c:pt>
                <c:pt idx="5">
                  <c:v>4954.9549549549547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36-406C-A316-336D22E20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8696784"/>
        <c:axId val="998684784"/>
      </c:barChart>
      <c:catAx>
        <c:axId val="99869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Zone</a:t>
                </a:r>
              </a:p>
            </c:rich>
          </c:tx>
          <c:layout>
            <c:manualLayout>
              <c:xMode val="edge"/>
              <c:yMode val="edge"/>
              <c:x val="0.47219335083114611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84784"/>
        <c:crosses val="autoZero"/>
        <c:auto val="1"/>
        <c:lblAlgn val="ctr"/>
        <c:lblOffset val="100"/>
        <c:noMultiLvlLbl val="0"/>
      </c:catAx>
      <c:valAx>
        <c:axId val="998684784"/>
        <c:scaling>
          <c:orientation val="minMax"/>
          <c:max val="5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</a:t>
                </a:r>
                <a:r>
                  <a:rPr lang="en-IN" baseline="0"/>
                  <a:t> per DALY Averted (USD)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9678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Cost per Case Averted vs. ITN Usage Gap (%)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3366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442-449D-A188-CA319B5295C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808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442-449D-A188-CA319B5295C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BF9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442-449D-A188-CA319B5295CE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9933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442-449D-A188-CA319B5295C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66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442-449D-A188-CA319B5295CE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33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442-449D-A188-CA319B5295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045455F-43DA-422A-BB00-DB733C16644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442-449D-A188-CA319B5295CE}"/>
                </c:ext>
              </c:extLst>
            </c:dLbl>
            <c:dLbl>
              <c:idx val="1"/>
              <c:layout>
                <c:manualLayout>
                  <c:x val="-8.3333333333334356E-3"/>
                  <c:y val="-4.6296296296296294E-3"/>
                </c:manualLayout>
              </c:layout>
              <c:tx>
                <c:rich>
                  <a:bodyPr/>
                  <a:lstStyle/>
                  <a:p>
                    <a:fld id="{DFDC91AF-D5F2-4278-92EA-316BA065C13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442-449D-A188-CA319B5295CE}"/>
                </c:ext>
              </c:extLst>
            </c:dLbl>
            <c:dLbl>
              <c:idx val="2"/>
              <c:layout>
                <c:manualLayout>
                  <c:x val="-1.1111111111111112E-2"/>
                  <c:y val="3.7037037037036952E-2"/>
                </c:manualLayout>
              </c:layout>
              <c:tx>
                <c:rich>
                  <a:bodyPr/>
                  <a:lstStyle/>
                  <a:p>
                    <a:fld id="{07EECFC4-5B4D-4135-89C9-15335FB63E1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442-449D-A188-CA319B5295C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090CC47-746E-4239-8FB7-E02DDB49A3A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442-449D-A188-CA319B5295C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9C42E65-A424-40A1-A189-3CE04C4CFBD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442-449D-A188-CA319B5295C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2D4A927-DFEC-4FF6-9FB6-4C88DF1B2B2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442-449D-A188-CA319B5295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visualisation_helper!$C$2:$C$7</c:f>
              <c:numCache>
                <c:formatCode>General</c:formatCode>
                <c:ptCount val="6"/>
                <c:pt idx="0">
                  <c:v>19.399999999999999</c:v>
                </c:pt>
                <c:pt idx="1">
                  <c:v>21.2</c:v>
                </c:pt>
                <c:pt idx="2">
                  <c:v>21.2</c:v>
                </c:pt>
                <c:pt idx="3">
                  <c:v>7.4</c:v>
                </c:pt>
                <c:pt idx="4">
                  <c:v>15.6</c:v>
                </c:pt>
                <c:pt idx="5">
                  <c:v>20.3</c:v>
                </c:pt>
              </c:numCache>
            </c:numRef>
          </c:xVal>
          <c:yVal>
            <c:numRef>
              <c:f>visualisation_helper!$D$2:$D$7</c:f>
              <c:numCache>
                <c:formatCode>_-[$$-409]* #,##0.00_ ;_-[$$-409]* \-#,##0.00\ ;_-[$$-409]* "-"??_ ;_-@_ </c:formatCode>
                <c:ptCount val="6"/>
                <c:pt idx="0">
                  <c:v>72.131147540983605</c:v>
                </c:pt>
                <c:pt idx="1">
                  <c:v>43.30708661417323</c:v>
                </c:pt>
                <c:pt idx="2">
                  <c:v>40.293040293040292</c:v>
                </c:pt>
                <c:pt idx="3">
                  <c:v>74.576271186440678</c:v>
                </c:pt>
                <c:pt idx="4">
                  <c:v>92.827004219409289</c:v>
                </c:pt>
                <c:pt idx="5">
                  <c:v>99.099099099099092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visualisation_helper!$A$2:$A$7</c15:f>
                <c15:dlblRangeCache>
                  <c:ptCount val="6"/>
                  <c:pt idx="0">
                    <c:v>North West</c:v>
                  </c:pt>
                  <c:pt idx="1">
                    <c:v>North East</c:v>
                  </c:pt>
                  <c:pt idx="2">
                    <c:v>North Central</c:v>
                  </c:pt>
                  <c:pt idx="3">
                    <c:v>South East</c:v>
                  </c:pt>
                  <c:pt idx="4">
                    <c:v>South South</c:v>
                  </c:pt>
                  <c:pt idx="5">
                    <c:v>South 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3442-449D-A188-CA319B529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959472"/>
        <c:axId val="922963312"/>
      </c:scatterChart>
      <c:valAx>
        <c:axId val="92295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/>
                  <a:t>ITN Usage Gap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63312"/>
        <c:crosses val="autoZero"/>
        <c:crossBetween val="midCat"/>
      </c:valAx>
      <c:valAx>
        <c:axId val="9229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Cost per Case Averted (USD)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5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ITN Ownership</a:t>
            </a:r>
            <a:r>
              <a:rPr lang="en-IN" sz="1200" baseline="0"/>
              <a:t> vs Usage by Zone (Children Under 5, 2021)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ITN Ownership (%)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zone_summary_table_2021!$A$2:$A$7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zone_summary_table_2021!$B$2:$B$7</c:f>
              <c:numCache>
                <c:formatCode>0.0</c:formatCode>
                <c:ptCount val="6"/>
                <c:pt idx="0" formatCode="General">
                  <c:v>49.9</c:v>
                </c:pt>
                <c:pt idx="1">
                  <c:v>72</c:v>
                </c:pt>
                <c:pt idx="2" formatCode="General">
                  <c:v>75.8</c:v>
                </c:pt>
                <c:pt idx="3" formatCode="General">
                  <c:v>36.9</c:v>
                </c:pt>
                <c:pt idx="4" formatCode="General">
                  <c:v>39.299999999999997</c:v>
                </c:pt>
                <c:pt idx="5" formatCode="General">
                  <c:v>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E-4CFD-AA67-36C28244FF7D}"/>
            </c:ext>
          </c:extLst>
        </c:ser>
        <c:ser>
          <c:idx val="1"/>
          <c:order val="1"/>
          <c:tx>
            <c:v>ITN Usage (%)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zone_summary_table_2021!$A$2:$A$7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zone_summary_table_2021!$C$2:$C$7</c:f>
              <c:numCache>
                <c:formatCode>General</c:formatCode>
                <c:ptCount val="6"/>
                <c:pt idx="0">
                  <c:v>30.5</c:v>
                </c:pt>
                <c:pt idx="1">
                  <c:v>50.8</c:v>
                </c:pt>
                <c:pt idx="2">
                  <c:v>54.6</c:v>
                </c:pt>
                <c:pt idx="3">
                  <c:v>29.5</c:v>
                </c:pt>
                <c:pt idx="4">
                  <c:v>23.7</c:v>
                </c:pt>
                <c:pt idx="5">
                  <c:v>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E-4CFD-AA67-36C28244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396688"/>
        <c:axId val="1876398128"/>
      </c:barChart>
      <c:catAx>
        <c:axId val="187639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Zone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98128"/>
        <c:crosses val="autoZero"/>
        <c:auto val="1"/>
        <c:lblAlgn val="ctr"/>
        <c:lblOffset val="100"/>
        <c:noMultiLvlLbl val="0"/>
      </c:catAx>
      <c:valAx>
        <c:axId val="187639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39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Potential Additional Children Protected if Ownership–Usage Gap Closed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zone_summary_table_2021!$A$2:$A$7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zone_summary_table_2021!$H$2:$H$7</c:f>
              <c:numCache>
                <c:formatCode>_ * #,##0_ ;_ * \-#,##0_ ;_ * "-"??_ ;_ @_ </c:formatCode>
                <c:ptCount val="6"/>
                <c:pt idx="0">
                  <c:v>1503500</c:v>
                </c:pt>
                <c:pt idx="1">
                  <c:v>985800</c:v>
                </c:pt>
                <c:pt idx="2">
                  <c:v>1117240</c:v>
                </c:pt>
                <c:pt idx="3">
                  <c:v>389980</c:v>
                </c:pt>
                <c:pt idx="4">
                  <c:v>628680</c:v>
                </c:pt>
                <c:pt idx="5">
                  <c:v>818090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9-4902-9698-367DFB310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6412048"/>
        <c:axId val="1876409648"/>
      </c:barChart>
      <c:catAx>
        <c:axId val="1876412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Zone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09648"/>
        <c:crosses val="autoZero"/>
        <c:auto val="1"/>
        <c:lblAlgn val="ctr"/>
        <c:lblOffset val="100"/>
        <c:noMultiLvlLbl val="0"/>
      </c:catAx>
      <c:valAx>
        <c:axId val="187640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children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41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ITN Usage vs Ownership by Zone (Nigeria 2021)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A72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3333333333332309E-3"/>
                  <c:y val="4.1666666666666664E-2"/>
                </c:manualLayout>
              </c:layout>
              <c:tx>
                <c:rich>
                  <a:bodyPr/>
                  <a:lstStyle/>
                  <a:p>
                    <a:fld id="{BCAC8A6B-B25B-43EE-BEC3-55DE95C27A8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623-48EA-887D-7513D8DCACA0}"/>
                </c:ext>
              </c:extLst>
            </c:dLbl>
            <c:dLbl>
              <c:idx val="1"/>
              <c:layout>
                <c:manualLayout>
                  <c:x val="-0.15555555555555545"/>
                  <c:y val="1.3888888888888888E-2"/>
                </c:manualLayout>
              </c:layout>
              <c:tx>
                <c:rich>
                  <a:bodyPr/>
                  <a:lstStyle/>
                  <a:p>
                    <a:fld id="{DF661D9F-AA80-4237-AF49-E7931D72219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623-48EA-887D-7513D8DCACA0}"/>
                </c:ext>
              </c:extLst>
            </c:dLbl>
            <c:dLbl>
              <c:idx val="2"/>
              <c:layout>
                <c:manualLayout>
                  <c:x val="-0.14722222222222234"/>
                  <c:y val="-2.7777777777777821E-2"/>
                </c:manualLayout>
              </c:layout>
              <c:tx>
                <c:rich>
                  <a:bodyPr/>
                  <a:lstStyle/>
                  <a:p>
                    <a:fld id="{5CA79586-7EFB-483F-A147-6F34C94BC90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623-48EA-887D-7513D8DCACA0}"/>
                </c:ext>
              </c:extLst>
            </c:dLbl>
            <c:dLbl>
              <c:idx val="3"/>
              <c:layout>
                <c:manualLayout>
                  <c:x val="-0.15833333333333338"/>
                  <c:y val="-9.2592592592592587E-3"/>
                </c:manualLayout>
              </c:layout>
              <c:tx>
                <c:rich>
                  <a:bodyPr/>
                  <a:lstStyle/>
                  <a:p>
                    <a:fld id="{2829D1D0-AA0A-4DBF-9738-EB023CE233B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623-48EA-887D-7513D8DCACA0}"/>
                </c:ext>
              </c:extLst>
            </c:dLbl>
            <c:dLbl>
              <c:idx val="4"/>
              <c:layout>
                <c:manualLayout>
                  <c:x val="-0.17222222222222228"/>
                  <c:y val="4.1666666666666664E-2"/>
                </c:manualLayout>
              </c:layout>
              <c:tx>
                <c:rich>
                  <a:bodyPr/>
                  <a:lstStyle/>
                  <a:p>
                    <a:fld id="{E0833018-82E5-433B-BE86-E79758159FC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623-48EA-887D-7513D8DCACA0}"/>
                </c:ext>
              </c:extLst>
            </c:dLbl>
            <c:dLbl>
              <c:idx val="5"/>
              <c:layout>
                <c:manualLayout>
                  <c:x val="-3.888888888888889E-2"/>
                  <c:y val="5.5555555555555552E-2"/>
                </c:manualLayout>
              </c:layout>
              <c:tx>
                <c:rich>
                  <a:bodyPr/>
                  <a:lstStyle/>
                  <a:p>
                    <a:fld id="{59E94043-E3EB-4751-B545-8C35142EB7E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623-48EA-887D-7513D8DCAC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rgbClr val="B0B0B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zone_summary_table_2021!$B$2:$B$7</c:f>
              <c:numCache>
                <c:formatCode>0.0</c:formatCode>
                <c:ptCount val="6"/>
                <c:pt idx="0" formatCode="General">
                  <c:v>49.9</c:v>
                </c:pt>
                <c:pt idx="1">
                  <c:v>72</c:v>
                </c:pt>
                <c:pt idx="2" formatCode="General">
                  <c:v>75.8</c:v>
                </c:pt>
                <c:pt idx="3" formatCode="General">
                  <c:v>36.9</c:v>
                </c:pt>
                <c:pt idx="4" formatCode="General">
                  <c:v>39.299999999999997</c:v>
                </c:pt>
                <c:pt idx="5" formatCode="General">
                  <c:v>42.5</c:v>
                </c:pt>
              </c:numCache>
            </c:numRef>
          </c:xVal>
          <c:yVal>
            <c:numRef>
              <c:f>zone_summary_table_2021!$C$2:$C$7</c:f>
              <c:numCache>
                <c:formatCode>General</c:formatCode>
                <c:ptCount val="6"/>
                <c:pt idx="0">
                  <c:v>30.5</c:v>
                </c:pt>
                <c:pt idx="1">
                  <c:v>50.8</c:v>
                </c:pt>
                <c:pt idx="2">
                  <c:v>54.6</c:v>
                </c:pt>
                <c:pt idx="3">
                  <c:v>29.5</c:v>
                </c:pt>
                <c:pt idx="4">
                  <c:v>23.7</c:v>
                </c:pt>
                <c:pt idx="5">
                  <c:v>22.2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zone_summary_table_2021!$A$2:$A$7</c15:f>
                <c15:dlblRangeCache>
                  <c:ptCount val="6"/>
                  <c:pt idx="0">
                    <c:v>North Central</c:v>
                  </c:pt>
                  <c:pt idx="1">
                    <c:v>North East</c:v>
                  </c:pt>
                  <c:pt idx="2">
                    <c:v>North West</c:v>
                  </c:pt>
                  <c:pt idx="3">
                    <c:v>South East</c:v>
                  </c:pt>
                  <c:pt idx="4">
                    <c:v>South South</c:v>
                  </c:pt>
                  <c:pt idx="5">
                    <c:v>South 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6623-48EA-887D-7513D8DCA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792512"/>
        <c:axId val="1636803552"/>
      </c:scatterChart>
      <c:valAx>
        <c:axId val="163679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ITN Ownership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803552"/>
        <c:crosses val="autoZero"/>
        <c:crossBetween val="midCat"/>
      </c:valAx>
      <c:valAx>
        <c:axId val="163680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ITN</a:t>
                </a:r>
                <a:r>
                  <a:rPr lang="en-IN" baseline="0"/>
                  <a:t> Usage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9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Cost-Effectiveness by Zone (Lower Cost = More Effective)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visualisation_helper!$B$1</c:f>
              <c:strCache>
                <c:ptCount val="1"/>
                <c:pt idx="0">
                  <c:v>cost_per_daly_averted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3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B92-42C4-A7FF-9070B66BA71F}"/>
              </c:ext>
            </c:extLst>
          </c:dPt>
          <c:dPt>
            <c:idx val="1"/>
            <c:invertIfNegative val="0"/>
            <c:bubble3D val="0"/>
            <c:spPr>
              <a:solidFill>
                <a:srgbClr val="8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92-42C4-A7FF-9070B66BA71F}"/>
              </c:ext>
            </c:extLst>
          </c:dPt>
          <c:dPt>
            <c:idx val="2"/>
            <c:invertIfNegative val="0"/>
            <c:bubble3D val="0"/>
            <c:spPr>
              <a:solidFill>
                <a:srgbClr val="BF9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B92-42C4-A7FF-9070B66BA71F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2-42C4-A7FF-9070B66BA71F}"/>
              </c:ext>
            </c:extLst>
          </c:dPt>
          <c:dPt>
            <c:idx val="4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B92-42C4-A7FF-9070B66BA71F}"/>
              </c:ext>
            </c:extLst>
          </c:dPt>
          <c:dPt>
            <c:idx val="5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2-42C4-A7FF-9070B66BA7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visualisation_helper!$A$2:$A$7</c:f>
              <c:strCache>
                <c:ptCount val="6"/>
                <c:pt idx="0">
                  <c:v>North West</c:v>
                </c:pt>
                <c:pt idx="1">
                  <c:v>North East</c:v>
                </c:pt>
                <c:pt idx="2">
                  <c:v>North Central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visualisation_helper!$B$2:$B$7</c:f>
              <c:numCache>
                <c:formatCode>_-[$$-409]* #,##0_ ;_-[$$-409]* \-#,##0\ ;_-[$$-409]* "-"??_ ;_-@_ </c:formatCode>
                <c:ptCount val="6"/>
                <c:pt idx="0">
                  <c:v>2014.6520146520147</c:v>
                </c:pt>
                <c:pt idx="1">
                  <c:v>2165.3543307086616</c:v>
                </c:pt>
                <c:pt idx="2">
                  <c:v>3606.5573770491801</c:v>
                </c:pt>
                <c:pt idx="3">
                  <c:v>3728.8135593220341</c:v>
                </c:pt>
                <c:pt idx="4">
                  <c:v>4641.3502109704641</c:v>
                </c:pt>
                <c:pt idx="5">
                  <c:v>4954.9549549549547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2-42C4-A7FF-9070B66BA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8696784"/>
        <c:axId val="998684784"/>
      </c:barChart>
      <c:catAx>
        <c:axId val="99869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Zone</a:t>
                </a:r>
              </a:p>
            </c:rich>
          </c:tx>
          <c:layout>
            <c:manualLayout>
              <c:xMode val="edge"/>
              <c:yMode val="edge"/>
              <c:x val="0.47219335083114611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84784"/>
        <c:crosses val="autoZero"/>
        <c:auto val="1"/>
        <c:lblAlgn val="ctr"/>
        <c:lblOffset val="100"/>
        <c:noMultiLvlLbl val="0"/>
      </c:catAx>
      <c:valAx>
        <c:axId val="998684784"/>
        <c:scaling>
          <c:orientation val="minMax"/>
          <c:max val="5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</a:t>
                </a:r>
                <a:r>
                  <a:rPr lang="en-IN" baseline="0"/>
                  <a:t> per DALY Averted (USD)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9678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Cost per Case Averted vs. ITN Usage Gap (%)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3366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082-4AA3-B123-896F7FC7E3C5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808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082-4AA3-B123-896F7FC7E3C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BF9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082-4AA3-B123-896F7FC7E3C5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9933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082-4AA3-B123-896F7FC7E3C5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66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082-4AA3-B123-896F7FC7E3C5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33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082-4AA3-B123-896F7FC7E3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C61A071-2D61-459E-A513-FA8CDBAEB27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082-4AA3-B123-896F7FC7E3C5}"/>
                </c:ext>
              </c:extLst>
            </c:dLbl>
            <c:dLbl>
              <c:idx val="1"/>
              <c:layout>
                <c:manualLayout>
                  <c:x val="-8.3333333333334356E-3"/>
                  <c:y val="-4.6296296296296294E-3"/>
                </c:manualLayout>
              </c:layout>
              <c:tx>
                <c:rich>
                  <a:bodyPr/>
                  <a:lstStyle/>
                  <a:p>
                    <a:fld id="{DA9065A9-CACC-47FE-9958-86B9D50FF37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082-4AA3-B123-896F7FC7E3C5}"/>
                </c:ext>
              </c:extLst>
            </c:dLbl>
            <c:dLbl>
              <c:idx val="2"/>
              <c:layout>
                <c:manualLayout>
                  <c:x val="-1.1111111111111112E-2"/>
                  <c:y val="3.7037037037036952E-2"/>
                </c:manualLayout>
              </c:layout>
              <c:tx>
                <c:rich>
                  <a:bodyPr/>
                  <a:lstStyle/>
                  <a:p>
                    <a:fld id="{C392F588-F919-4A6B-B4FB-B929FF44F77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082-4AA3-B123-896F7FC7E3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2FA5928-E410-4C6E-95E0-0D2CF9E9BBF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082-4AA3-B123-896F7FC7E3C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47923C5-60C5-4EFF-9F20-AB3FA816269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082-4AA3-B123-896F7FC7E3C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ACF3266-A606-4BC6-A7DA-6557DDC06ED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082-4AA3-B123-896F7FC7E3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visualisation_helper!$C$2:$C$7</c:f>
              <c:numCache>
                <c:formatCode>General</c:formatCode>
                <c:ptCount val="6"/>
                <c:pt idx="0">
                  <c:v>19.399999999999999</c:v>
                </c:pt>
                <c:pt idx="1">
                  <c:v>21.2</c:v>
                </c:pt>
                <c:pt idx="2">
                  <c:v>21.2</c:v>
                </c:pt>
                <c:pt idx="3">
                  <c:v>7.4</c:v>
                </c:pt>
                <c:pt idx="4">
                  <c:v>15.6</c:v>
                </c:pt>
                <c:pt idx="5">
                  <c:v>20.3</c:v>
                </c:pt>
              </c:numCache>
            </c:numRef>
          </c:xVal>
          <c:yVal>
            <c:numRef>
              <c:f>visualisation_helper!$D$2:$D$7</c:f>
              <c:numCache>
                <c:formatCode>_-[$$-409]* #,##0.00_ ;_-[$$-409]* \-#,##0.00\ ;_-[$$-409]* "-"??_ ;_-@_ </c:formatCode>
                <c:ptCount val="6"/>
                <c:pt idx="0">
                  <c:v>72.131147540983605</c:v>
                </c:pt>
                <c:pt idx="1">
                  <c:v>43.30708661417323</c:v>
                </c:pt>
                <c:pt idx="2">
                  <c:v>40.293040293040292</c:v>
                </c:pt>
                <c:pt idx="3">
                  <c:v>74.576271186440678</c:v>
                </c:pt>
                <c:pt idx="4">
                  <c:v>92.827004219409289</c:v>
                </c:pt>
                <c:pt idx="5">
                  <c:v>99.099099099099092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visualisation_helper!$A$2:$A$7</c15:f>
                <c15:dlblRangeCache>
                  <c:ptCount val="6"/>
                  <c:pt idx="0">
                    <c:v>North West</c:v>
                  </c:pt>
                  <c:pt idx="1">
                    <c:v>North East</c:v>
                  </c:pt>
                  <c:pt idx="2">
                    <c:v>North Central</c:v>
                  </c:pt>
                  <c:pt idx="3">
                    <c:v>South East</c:v>
                  </c:pt>
                  <c:pt idx="4">
                    <c:v>South South</c:v>
                  </c:pt>
                  <c:pt idx="5">
                    <c:v>South 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082-4AA3-B123-896F7FC7E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959472"/>
        <c:axId val="922963312"/>
      </c:scatterChart>
      <c:valAx>
        <c:axId val="92295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/>
                  <a:t>ITN Usage Gap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63312"/>
        <c:crosses val="autoZero"/>
        <c:crossBetween val="midCat"/>
      </c:valAx>
      <c:valAx>
        <c:axId val="9229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Cost per Case Averted (USD)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5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16936</xdr:colOff>
      <xdr:row>1</xdr:row>
      <xdr:rowOff>16931</xdr:rowOff>
    </xdr:from>
    <xdr:to>
      <xdr:col>10</xdr:col>
      <xdr:colOff>601133</xdr:colOff>
      <xdr:row>13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38144D-B15C-5C4B-5503-EE5415843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4936" y="203198"/>
          <a:ext cx="3632197" cy="23706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16933</xdr:colOff>
      <xdr:row>2</xdr:row>
      <xdr:rowOff>45505</xdr:rowOff>
    </xdr:from>
    <xdr:to>
      <xdr:col>10</xdr:col>
      <xdr:colOff>581025</xdr:colOff>
      <xdr:row>13</xdr:row>
      <xdr:rowOff>70906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94EAE-8A07-4365-8FC3-56C39A908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8467</xdr:colOff>
      <xdr:row>13</xdr:row>
      <xdr:rowOff>12699</xdr:rowOff>
    </xdr:from>
    <xdr:to>
      <xdr:col>10</xdr:col>
      <xdr:colOff>571501</xdr:colOff>
      <xdr:row>23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BCA46D-FAEF-46AF-9AA4-6D55AD86B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365760</xdr:colOff>
      <xdr:row>2</xdr:row>
      <xdr:rowOff>3810</xdr:rowOff>
    </xdr:from>
    <xdr:to>
      <xdr:col>8</xdr:col>
      <xdr:colOff>60960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D5772B-B52B-4A55-8A0B-E973CC8EA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179070</xdr:colOff>
      <xdr:row>2</xdr:row>
      <xdr:rowOff>7620</xdr:rowOff>
    </xdr:from>
    <xdr:to>
      <xdr:col>16</xdr:col>
      <xdr:colOff>483870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6FEB99-3421-4F11-8A09-192E149EE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17</xdr:col>
      <xdr:colOff>601980</xdr:colOff>
      <xdr:row>2</xdr:row>
      <xdr:rowOff>0</xdr:rowOff>
    </xdr:from>
    <xdr:to>
      <xdr:col>25</xdr:col>
      <xdr:colOff>297180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FFB434-F76C-4C1E-8347-CBAC88875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1</xdr:row>
      <xdr:rowOff>129540</xdr:rowOff>
    </xdr:from>
    <xdr:to>
      <xdr:col>8</xdr:col>
      <xdr:colOff>99060</xdr:colOff>
      <xdr:row>16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4CB17E-E861-471C-A8B8-6FFA9A38F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</xdr:colOff>
      <xdr:row>1</xdr:row>
      <xdr:rowOff>30480</xdr:rowOff>
    </xdr:from>
    <xdr:to>
      <xdr:col>16</xdr:col>
      <xdr:colOff>358140</xdr:colOff>
      <xdr:row>16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E3DF0A-BA0B-426C-996C-562037BBB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8F60-CAE5-4FA9-8A0E-898282349F4E}">
  <dimension ref="A1:K29"/>
  <sheetViews>
    <sheetView showGridLines="0" tabSelected="1" topLeftCell="A7" zoomScale="90" zoomScaleNormal="90" workbookViewId="0">
      <selection sqref="A1:K1"/>
    </sheetView>
  </sheetViews>
  <sheetFormatPr defaultRowHeight="14.4" x14ac:dyDescent="0.3"/>
  <sheetData>
    <row r="1" spans="1:11" x14ac:dyDescent="0.3">
      <c r="A1" s="55" t="s">
        <v>67</v>
      </c>
      <c r="B1" s="56"/>
      <c r="C1" s="56"/>
      <c r="D1" s="56"/>
      <c r="E1" s="56"/>
      <c r="F1" s="56"/>
      <c r="G1" s="56"/>
      <c r="H1" s="56"/>
      <c r="I1" s="56"/>
      <c r="J1" s="56"/>
      <c r="K1" s="57"/>
    </row>
    <row r="2" spans="1:11" x14ac:dyDescent="0.3">
      <c r="A2" s="28" t="s">
        <v>66</v>
      </c>
      <c r="B2" s="29"/>
      <c r="C2" s="29"/>
      <c r="D2" s="29"/>
      <c r="E2" s="30"/>
      <c r="F2" s="37"/>
      <c r="G2" s="38"/>
      <c r="H2" s="38"/>
      <c r="I2" s="38"/>
      <c r="J2" s="38"/>
      <c r="K2" s="39"/>
    </row>
    <row r="3" spans="1:11" x14ac:dyDescent="0.3">
      <c r="A3" s="31"/>
      <c r="B3" s="32"/>
      <c r="C3" s="32"/>
      <c r="D3" s="32"/>
      <c r="E3" s="33"/>
      <c r="F3" s="40"/>
      <c r="G3" s="41"/>
      <c r="H3" s="41"/>
      <c r="I3" s="41"/>
      <c r="J3" s="41"/>
      <c r="K3" s="42"/>
    </row>
    <row r="4" spans="1:11" x14ac:dyDescent="0.3">
      <c r="A4" s="31"/>
      <c r="B4" s="32"/>
      <c r="C4" s="32"/>
      <c r="D4" s="32"/>
      <c r="E4" s="33"/>
      <c r="F4" s="40"/>
      <c r="G4" s="41"/>
      <c r="H4" s="41"/>
      <c r="I4" s="41"/>
      <c r="J4" s="41"/>
      <c r="K4" s="42"/>
    </row>
    <row r="5" spans="1:11" x14ac:dyDescent="0.3">
      <c r="A5" s="31"/>
      <c r="B5" s="32"/>
      <c r="C5" s="32"/>
      <c r="D5" s="32"/>
      <c r="E5" s="33"/>
      <c r="F5" s="40"/>
      <c r="G5" s="41"/>
      <c r="H5" s="41"/>
      <c r="I5" s="41"/>
      <c r="J5" s="41"/>
      <c r="K5" s="42"/>
    </row>
    <row r="6" spans="1:11" x14ac:dyDescent="0.3">
      <c r="A6" s="31"/>
      <c r="B6" s="32"/>
      <c r="C6" s="32"/>
      <c r="D6" s="32"/>
      <c r="E6" s="33"/>
      <c r="F6" s="40"/>
      <c r="G6" s="41"/>
      <c r="H6" s="41"/>
      <c r="I6" s="41"/>
      <c r="J6" s="41"/>
      <c r="K6" s="42"/>
    </row>
    <row r="7" spans="1:11" x14ac:dyDescent="0.3">
      <c r="A7" s="31"/>
      <c r="B7" s="32"/>
      <c r="C7" s="32"/>
      <c r="D7" s="32"/>
      <c r="E7" s="33"/>
      <c r="F7" s="40"/>
      <c r="G7" s="41"/>
      <c r="H7" s="41"/>
      <c r="I7" s="41"/>
      <c r="J7" s="41"/>
      <c r="K7" s="42"/>
    </row>
    <row r="8" spans="1:11" x14ac:dyDescent="0.3">
      <c r="A8" s="31"/>
      <c r="B8" s="32"/>
      <c r="C8" s="32"/>
      <c r="D8" s="32"/>
      <c r="E8" s="33"/>
      <c r="F8" s="40"/>
      <c r="G8" s="41"/>
      <c r="H8" s="41"/>
      <c r="I8" s="41"/>
      <c r="J8" s="41"/>
      <c r="K8" s="42"/>
    </row>
    <row r="9" spans="1:11" x14ac:dyDescent="0.3">
      <c r="A9" s="31"/>
      <c r="B9" s="32"/>
      <c r="C9" s="32"/>
      <c r="D9" s="32"/>
      <c r="E9" s="33"/>
      <c r="F9" s="40"/>
      <c r="G9" s="41"/>
      <c r="H9" s="41"/>
      <c r="I9" s="41"/>
      <c r="J9" s="41"/>
      <c r="K9" s="42"/>
    </row>
    <row r="10" spans="1:11" x14ac:dyDescent="0.3">
      <c r="A10" s="31"/>
      <c r="B10" s="32"/>
      <c r="C10" s="32"/>
      <c r="D10" s="32"/>
      <c r="E10" s="33"/>
      <c r="F10" s="40"/>
      <c r="G10" s="41"/>
      <c r="H10" s="41"/>
      <c r="I10" s="41"/>
      <c r="J10" s="41"/>
      <c r="K10" s="42"/>
    </row>
    <row r="11" spans="1:11" x14ac:dyDescent="0.3">
      <c r="A11" s="31"/>
      <c r="B11" s="32"/>
      <c r="C11" s="32"/>
      <c r="D11" s="32"/>
      <c r="E11" s="33"/>
      <c r="F11" s="40"/>
      <c r="G11" s="41"/>
      <c r="H11" s="41"/>
      <c r="I11" s="41"/>
      <c r="J11" s="41"/>
      <c r="K11" s="42"/>
    </row>
    <row r="12" spans="1:11" x14ac:dyDescent="0.3">
      <c r="A12" s="31"/>
      <c r="B12" s="32"/>
      <c r="C12" s="32"/>
      <c r="D12" s="32"/>
      <c r="E12" s="33"/>
      <c r="F12" s="40"/>
      <c r="G12" s="41"/>
      <c r="H12" s="41"/>
      <c r="I12" s="41"/>
      <c r="J12" s="41"/>
      <c r="K12" s="42"/>
    </row>
    <row r="13" spans="1:11" x14ac:dyDescent="0.3">
      <c r="A13" s="31"/>
      <c r="B13" s="32"/>
      <c r="C13" s="32"/>
      <c r="D13" s="32"/>
      <c r="E13" s="33"/>
      <c r="F13" s="40"/>
      <c r="G13" s="41"/>
      <c r="H13" s="41"/>
      <c r="I13" s="41"/>
      <c r="J13" s="41"/>
      <c r="K13" s="42"/>
    </row>
    <row r="14" spans="1:11" x14ac:dyDescent="0.3">
      <c r="A14" s="34"/>
      <c r="B14" s="35"/>
      <c r="C14" s="35"/>
      <c r="D14" s="35"/>
      <c r="E14" s="36"/>
      <c r="F14" s="43"/>
      <c r="G14" s="44"/>
      <c r="H14" s="44"/>
      <c r="I14" s="44"/>
      <c r="J14" s="44"/>
      <c r="K14" s="45"/>
    </row>
    <row r="15" spans="1:11" x14ac:dyDescent="0.3">
      <c r="A15" s="46" t="s">
        <v>68</v>
      </c>
      <c r="B15" s="47"/>
      <c r="C15" s="47"/>
      <c r="D15" s="47"/>
      <c r="E15" s="48"/>
      <c r="F15" s="28" t="s">
        <v>69</v>
      </c>
      <c r="G15" s="29"/>
      <c r="H15" s="29"/>
      <c r="I15" s="29"/>
      <c r="J15" s="29"/>
      <c r="K15" s="30"/>
    </row>
    <row r="16" spans="1:11" x14ac:dyDescent="0.3">
      <c r="A16" s="49"/>
      <c r="B16" s="50"/>
      <c r="C16" s="50"/>
      <c r="D16" s="50"/>
      <c r="E16" s="51"/>
      <c r="F16" s="31"/>
      <c r="G16" s="32"/>
      <c r="H16" s="32"/>
      <c r="I16" s="32"/>
      <c r="J16" s="32"/>
      <c r="K16" s="33"/>
    </row>
    <row r="17" spans="1:11" x14ac:dyDescent="0.3">
      <c r="A17" s="49"/>
      <c r="B17" s="50"/>
      <c r="C17" s="50"/>
      <c r="D17" s="50"/>
      <c r="E17" s="51"/>
      <c r="F17" s="31"/>
      <c r="G17" s="32"/>
      <c r="H17" s="32"/>
      <c r="I17" s="32"/>
      <c r="J17" s="32"/>
      <c r="K17" s="33"/>
    </row>
    <row r="18" spans="1:11" x14ac:dyDescent="0.3">
      <c r="A18" s="49"/>
      <c r="B18" s="50"/>
      <c r="C18" s="50"/>
      <c r="D18" s="50"/>
      <c r="E18" s="51"/>
      <c r="F18" s="31"/>
      <c r="G18" s="32"/>
      <c r="H18" s="32"/>
      <c r="I18" s="32"/>
      <c r="J18" s="32"/>
      <c r="K18" s="33"/>
    </row>
    <row r="19" spans="1:11" x14ac:dyDescent="0.3">
      <c r="A19" s="49"/>
      <c r="B19" s="50"/>
      <c r="C19" s="50"/>
      <c r="D19" s="50"/>
      <c r="E19" s="51"/>
      <c r="F19" s="31"/>
      <c r="G19" s="32"/>
      <c r="H19" s="32"/>
      <c r="I19" s="32"/>
      <c r="J19" s="32"/>
      <c r="K19" s="33"/>
    </row>
    <row r="20" spans="1:11" x14ac:dyDescent="0.3">
      <c r="A20" s="49"/>
      <c r="B20" s="50"/>
      <c r="C20" s="50"/>
      <c r="D20" s="50"/>
      <c r="E20" s="51"/>
      <c r="F20" s="31"/>
      <c r="G20" s="32"/>
      <c r="H20" s="32"/>
      <c r="I20" s="32"/>
      <c r="J20" s="32"/>
      <c r="K20" s="33"/>
    </row>
    <row r="21" spans="1:11" x14ac:dyDescent="0.3">
      <c r="A21" s="49"/>
      <c r="B21" s="50"/>
      <c r="C21" s="50"/>
      <c r="D21" s="50"/>
      <c r="E21" s="51"/>
      <c r="F21" s="31"/>
      <c r="G21" s="32"/>
      <c r="H21" s="32"/>
      <c r="I21" s="32"/>
      <c r="J21" s="32"/>
      <c r="K21" s="33"/>
    </row>
    <row r="22" spans="1:11" x14ac:dyDescent="0.3">
      <c r="A22" s="49"/>
      <c r="B22" s="50"/>
      <c r="C22" s="50"/>
      <c r="D22" s="50"/>
      <c r="E22" s="51"/>
      <c r="F22" s="31"/>
      <c r="G22" s="32"/>
      <c r="H22" s="32"/>
      <c r="I22" s="32"/>
      <c r="J22" s="32"/>
      <c r="K22" s="33"/>
    </row>
    <row r="23" spans="1:11" x14ac:dyDescent="0.3">
      <c r="A23" s="49"/>
      <c r="B23" s="50"/>
      <c r="C23" s="50"/>
      <c r="D23" s="50"/>
      <c r="E23" s="51"/>
      <c r="F23" s="31"/>
      <c r="G23" s="32"/>
      <c r="H23" s="32"/>
      <c r="I23" s="32"/>
      <c r="J23" s="32"/>
      <c r="K23" s="33"/>
    </row>
    <row r="24" spans="1:11" x14ac:dyDescent="0.3">
      <c r="A24" s="49"/>
      <c r="B24" s="50"/>
      <c r="C24" s="50"/>
      <c r="D24" s="50"/>
      <c r="E24" s="51"/>
      <c r="F24" s="31"/>
      <c r="G24" s="32"/>
      <c r="H24" s="32"/>
      <c r="I24" s="32"/>
      <c r="J24" s="32"/>
      <c r="K24" s="33"/>
    </row>
    <row r="25" spans="1:11" x14ac:dyDescent="0.3">
      <c r="A25" s="49"/>
      <c r="B25" s="50"/>
      <c r="C25" s="50"/>
      <c r="D25" s="50"/>
      <c r="E25" s="51"/>
      <c r="F25" s="31"/>
      <c r="G25" s="32"/>
      <c r="H25" s="32"/>
      <c r="I25" s="32"/>
      <c r="J25" s="32"/>
      <c r="K25" s="33"/>
    </row>
    <row r="26" spans="1:11" x14ac:dyDescent="0.3">
      <c r="A26" s="49"/>
      <c r="B26" s="50"/>
      <c r="C26" s="50"/>
      <c r="D26" s="50"/>
      <c r="E26" s="51"/>
      <c r="F26" s="31"/>
      <c r="G26" s="32"/>
      <c r="H26" s="32"/>
      <c r="I26" s="32"/>
      <c r="J26" s="32"/>
      <c r="K26" s="33"/>
    </row>
    <row r="27" spans="1:11" x14ac:dyDescent="0.3">
      <c r="A27" s="49"/>
      <c r="B27" s="50"/>
      <c r="C27" s="50"/>
      <c r="D27" s="50"/>
      <c r="E27" s="51"/>
      <c r="F27" s="31"/>
      <c r="G27" s="32"/>
      <c r="H27" s="32"/>
      <c r="I27" s="32"/>
      <c r="J27" s="32"/>
      <c r="K27" s="33"/>
    </row>
    <row r="28" spans="1:11" x14ac:dyDescent="0.3">
      <c r="A28" s="49"/>
      <c r="B28" s="50"/>
      <c r="C28" s="50"/>
      <c r="D28" s="50"/>
      <c r="E28" s="51"/>
      <c r="F28" s="31"/>
      <c r="G28" s="32"/>
      <c r="H28" s="32"/>
      <c r="I28" s="32"/>
      <c r="J28" s="32"/>
      <c r="K28" s="33"/>
    </row>
    <row r="29" spans="1:11" x14ac:dyDescent="0.3">
      <c r="A29" s="52"/>
      <c r="B29" s="53"/>
      <c r="C29" s="53"/>
      <c r="D29" s="53"/>
      <c r="E29" s="54"/>
      <c r="F29" s="34"/>
      <c r="G29" s="35"/>
      <c r="H29" s="35"/>
      <c r="I29" s="35"/>
      <c r="J29" s="35"/>
      <c r="K29" s="36"/>
    </row>
  </sheetData>
  <mergeCells count="5">
    <mergeCell ref="A2:E14"/>
    <mergeCell ref="F2:K14"/>
    <mergeCell ref="A15:E29"/>
    <mergeCell ref="F15:K29"/>
    <mergeCell ref="A1:K1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A03B-A686-40FD-B98B-F8B535A822BB}">
  <dimension ref="A1:Q33"/>
  <sheetViews>
    <sheetView showGridLines="0" zoomScale="80" zoomScaleNormal="80" workbookViewId="0">
      <selection sqref="A1:K2"/>
    </sheetView>
  </sheetViews>
  <sheetFormatPr defaultRowHeight="14.4" x14ac:dyDescent="0.3"/>
  <sheetData>
    <row r="1" spans="1:17" ht="14.4" customHeight="1" x14ac:dyDescent="0.3">
      <c r="A1" s="65" t="s">
        <v>70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7" ht="19.8" customHeight="1" x14ac:dyDescent="0.3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7" x14ac:dyDescent="0.3">
      <c r="A3" s="58"/>
      <c r="B3" s="58"/>
      <c r="C3" s="58"/>
      <c r="D3" s="60"/>
      <c r="E3" s="60"/>
      <c r="F3" s="60"/>
      <c r="G3" s="60"/>
      <c r="H3" s="60"/>
      <c r="I3" s="60"/>
      <c r="J3" s="60"/>
      <c r="K3" s="60"/>
      <c r="L3" s="59"/>
    </row>
    <row r="4" spans="1:17" x14ac:dyDescent="0.3">
      <c r="A4" s="61" t="s">
        <v>72</v>
      </c>
      <c r="B4" s="62"/>
      <c r="C4" s="62"/>
      <c r="D4" s="60"/>
      <c r="E4" s="60"/>
      <c r="F4" s="60"/>
      <c r="G4" s="60"/>
      <c r="H4" s="60"/>
      <c r="I4" s="60"/>
      <c r="J4" s="60"/>
      <c r="K4" s="60"/>
    </row>
    <row r="5" spans="1:17" x14ac:dyDescent="0.3">
      <c r="A5" s="62"/>
      <c r="B5" s="62"/>
      <c r="C5" s="62"/>
      <c r="D5" s="60"/>
      <c r="E5" s="60"/>
      <c r="F5" s="60"/>
      <c r="G5" s="60"/>
      <c r="H5" s="60"/>
      <c r="I5" s="60"/>
      <c r="J5" s="60"/>
      <c r="K5" s="60"/>
    </row>
    <row r="6" spans="1:17" x14ac:dyDescent="0.3">
      <c r="A6" s="62"/>
      <c r="B6" s="62"/>
      <c r="C6" s="62"/>
      <c r="D6" s="60"/>
      <c r="E6" s="60"/>
      <c r="F6" s="60"/>
      <c r="G6" s="60"/>
      <c r="H6" s="60"/>
      <c r="I6" s="60"/>
      <c r="J6" s="60"/>
      <c r="K6" s="60"/>
    </row>
    <row r="7" spans="1:17" x14ac:dyDescent="0.3">
      <c r="A7" s="62"/>
      <c r="B7" s="62"/>
      <c r="C7" s="62"/>
      <c r="D7" s="60"/>
      <c r="E7" s="60"/>
      <c r="F7" s="60"/>
      <c r="G7" s="60"/>
      <c r="H7" s="60"/>
      <c r="I7" s="60"/>
      <c r="J7" s="60"/>
      <c r="K7" s="60"/>
    </row>
    <row r="8" spans="1:17" x14ac:dyDescent="0.3">
      <c r="A8" s="61" t="s">
        <v>73</v>
      </c>
      <c r="B8" s="62"/>
      <c r="C8" s="62"/>
      <c r="D8" s="60"/>
      <c r="E8" s="60"/>
      <c r="F8" s="60"/>
      <c r="G8" s="60"/>
      <c r="H8" s="60"/>
      <c r="I8" s="60"/>
      <c r="J8" s="60"/>
      <c r="K8" s="60"/>
    </row>
    <row r="9" spans="1:17" x14ac:dyDescent="0.3">
      <c r="A9" s="62"/>
      <c r="B9" s="62"/>
      <c r="C9" s="62"/>
      <c r="D9" s="60"/>
      <c r="E9" s="60"/>
      <c r="F9" s="60"/>
      <c r="G9" s="60"/>
      <c r="H9" s="60"/>
      <c r="I9" s="60"/>
      <c r="J9" s="60"/>
      <c r="K9" s="60"/>
    </row>
    <row r="10" spans="1:17" x14ac:dyDescent="0.3">
      <c r="A10" s="62"/>
      <c r="B10" s="62"/>
      <c r="C10" s="62"/>
      <c r="D10" s="60"/>
      <c r="E10" s="60"/>
      <c r="F10" s="60"/>
      <c r="G10" s="60"/>
      <c r="H10" s="60"/>
      <c r="I10" s="60"/>
      <c r="J10" s="60"/>
      <c r="K10" s="60"/>
    </row>
    <row r="11" spans="1:17" x14ac:dyDescent="0.3">
      <c r="A11" s="62"/>
      <c r="B11" s="62"/>
      <c r="C11" s="62"/>
      <c r="D11" s="60"/>
      <c r="E11" s="60"/>
      <c r="F11" s="60"/>
      <c r="G11" s="60"/>
      <c r="H11" s="60"/>
      <c r="I11" s="60"/>
      <c r="J11" s="60"/>
      <c r="K11" s="60"/>
      <c r="Q11" s="63"/>
    </row>
    <row r="12" spans="1:17" x14ac:dyDescent="0.3">
      <c r="A12" s="61" t="s">
        <v>74</v>
      </c>
      <c r="B12" s="62"/>
      <c r="C12" s="62"/>
      <c r="D12" s="60"/>
      <c r="E12" s="60"/>
      <c r="F12" s="60"/>
      <c r="G12" s="60"/>
      <c r="H12" s="60"/>
      <c r="I12" s="60"/>
      <c r="J12" s="60"/>
      <c r="K12" s="60"/>
    </row>
    <row r="13" spans="1:17" x14ac:dyDescent="0.3">
      <c r="A13" s="62"/>
      <c r="B13" s="62"/>
      <c r="C13" s="62"/>
      <c r="D13" s="60"/>
      <c r="E13" s="60"/>
      <c r="F13" s="60"/>
      <c r="G13" s="60"/>
      <c r="H13" s="60"/>
      <c r="I13" s="60"/>
      <c r="J13" s="60"/>
      <c r="K13" s="60"/>
      <c r="Q13" s="63"/>
    </row>
    <row r="14" spans="1:17" x14ac:dyDescent="0.3">
      <c r="A14" s="62"/>
      <c r="B14" s="62"/>
      <c r="C14" s="62"/>
      <c r="D14" s="60"/>
      <c r="E14" s="60"/>
      <c r="F14" s="60"/>
      <c r="G14" s="60"/>
      <c r="H14" s="60"/>
      <c r="I14" s="60"/>
      <c r="J14" s="60"/>
      <c r="K14" s="60"/>
    </row>
    <row r="15" spans="1:17" x14ac:dyDescent="0.3">
      <c r="A15" s="62"/>
      <c r="B15" s="62"/>
      <c r="C15" s="62"/>
      <c r="D15" s="60"/>
      <c r="E15" s="60"/>
      <c r="F15" s="60"/>
      <c r="G15" s="60"/>
      <c r="H15" s="60"/>
      <c r="I15" s="60"/>
      <c r="J15" s="60"/>
      <c r="K15" s="60"/>
      <c r="Q15" s="63"/>
    </row>
    <row r="16" spans="1:17" x14ac:dyDescent="0.3">
      <c r="A16" s="61" t="s">
        <v>75</v>
      </c>
      <c r="B16" s="62"/>
      <c r="C16" s="62"/>
      <c r="D16" s="60"/>
      <c r="E16" s="60"/>
      <c r="F16" s="60"/>
      <c r="G16" s="60"/>
      <c r="H16" s="60"/>
      <c r="I16" s="60"/>
      <c r="J16" s="60"/>
      <c r="K16" s="60"/>
    </row>
    <row r="17" spans="1:17" x14ac:dyDescent="0.3">
      <c r="A17" s="62"/>
      <c r="B17" s="62"/>
      <c r="C17" s="62"/>
      <c r="D17" s="60"/>
      <c r="E17" s="60"/>
      <c r="F17" s="60"/>
      <c r="G17" s="60"/>
      <c r="H17" s="60"/>
      <c r="I17" s="60"/>
      <c r="J17" s="60"/>
      <c r="K17" s="60"/>
      <c r="Q17" s="63"/>
    </row>
    <row r="18" spans="1:17" x14ac:dyDescent="0.3">
      <c r="A18" s="62"/>
      <c r="B18" s="62"/>
      <c r="C18" s="62"/>
      <c r="D18" s="60"/>
      <c r="E18" s="60"/>
      <c r="F18" s="60"/>
      <c r="G18" s="60"/>
      <c r="H18" s="60"/>
      <c r="I18" s="60"/>
      <c r="J18" s="60"/>
      <c r="K18" s="60"/>
    </row>
    <row r="19" spans="1:17" x14ac:dyDescent="0.3">
      <c r="A19" s="62"/>
      <c r="B19" s="62"/>
      <c r="C19" s="62"/>
      <c r="D19" s="60"/>
      <c r="E19" s="60"/>
      <c r="F19" s="60"/>
      <c r="G19" s="60"/>
      <c r="H19" s="60"/>
      <c r="I19" s="60"/>
      <c r="J19" s="60"/>
      <c r="K19" s="60"/>
      <c r="Q19" s="63"/>
    </row>
    <row r="20" spans="1:17" x14ac:dyDescent="0.3">
      <c r="A20" s="61" t="s">
        <v>76</v>
      </c>
      <c r="B20" s="62"/>
      <c r="C20" s="62"/>
      <c r="D20" s="60"/>
      <c r="E20" s="60"/>
      <c r="F20" s="60"/>
      <c r="G20" s="60"/>
      <c r="H20" s="60"/>
      <c r="I20" s="60"/>
      <c r="J20" s="60"/>
      <c r="K20" s="60"/>
    </row>
    <row r="21" spans="1:17" x14ac:dyDescent="0.3">
      <c r="A21" s="62"/>
      <c r="B21" s="62"/>
      <c r="C21" s="62"/>
      <c r="D21" s="60"/>
      <c r="E21" s="60"/>
      <c r="F21" s="60"/>
      <c r="G21" s="60"/>
      <c r="H21" s="60"/>
      <c r="I21" s="60"/>
      <c r="J21" s="60"/>
      <c r="K21" s="60"/>
    </row>
    <row r="22" spans="1:17" x14ac:dyDescent="0.3">
      <c r="A22" s="62"/>
      <c r="B22" s="62"/>
      <c r="C22" s="62"/>
      <c r="D22" s="60"/>
      <c r="E22" s="60"/>
      <c r="F22" s="60"/>
      <c r="G22" s="60"/>
      <c r="H22" s="60"/>
      <c r="I22" s="60"/>
      <c r="J22" s="60"/>
      <c r="K22" s="60"/>
    </row>
    <row r="23" spans="1:17" x14ac:dyDescent="0.3">
      <c r="A23" s="62"/>
      <c r="B23" s="62"/>
      <c r="C23" s="62"/>
      <c r="D23" s="60"/>
      <c r="E23" s="60"/>
      <c r="F23" s="60"/>
      <c r="G23" s="60"/>
      <c r="H23" s="60"/>
      <c r="I23" s="60"/>
      <c r="J23" s="60"/>
      <c r="K23" s="60"/>
    </row>
    <row r="24" spans="1:17" x14ac:dyDescent="0.3">
      <c r="A24" s="58"/>
      <c r="B24" s="59"/>
      <c r="C24" s="59"/>
      <c r="D24" s="60"/>
      <c r="E24" s="60"/>
      <c r="F24" s="60"/>
      <c r="G24" s="60"/>
      <c r="H24" s="60"/>
      <c r="I24" s="60"/>
      <c r="J24" s="60"/>
      <c r="K24" s="60"/>
    </row>
    <row r="25" spans="1:17" ht="14.4" customHeight="1" x14ac:dyDescent="0.3">
      <c r="A25" s="64" t="s">
        <v>77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</row>
    <row r="26" spans="1:17" x14ac:dyDescent="0.3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</row>
    <row r="27" spans="1:17" x14ac:dyDescent="0.3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</row>
    <row r="28" spans="1:17" x14ac:dyDescent="0.3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</row>
    <row r="29" spans="1:17" x14ac:dyDescent="0.3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</row>
    <row r="30" spans="1:17" x14ac:dyDescent="0.3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</row>
    <row r="31" spans="1:17" x14ac:dyDescent="0.3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spans="1:17" x14ac:dyDescent="0.3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</row>
    <row r="33" spans="1:11" x14ac:dyDescent="0.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</row>
  </sheetData>
  <mergeCells count="8">
    <mergeCell ref="A4:C7"/>
    <mergeCell ref="A8:C11"/>
    <mergeCell ref="A12:C15"/>
    <mergeCell ref="A16:C19"/>
    <mergeCell ref="A20:C23"/>
    <mergeCell ref="A25:K33"/>
    <mergeCell ref="A1:K2"/>
    <mergeCell ref="D3:K24"/>
  </mergeCells>
  <pageMargins left="0.25" right="0.25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C93B-04D9-4D13-BB88-759F51C59CAD}">
  <dimension ref="A1:P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bestFit="1" customWidth="1"/>
    <col min="2" max="2" width="9.88671875" customWidth="1"/>
    <col min="5" max="7" width="11.21875" bestFit="1" customWidth="1"/>
    <col min="8" max="8" width="10.77734375" customWidth="1"/>
    <col min="9" max="9" width="10.33203125" customWidth="1"/>
    <col min="10" max="10" width="19.88671875" style="1" customWidth="1"/>
    <col min="11" max="11" width="10.21875" style="1" customWidth="1"/>
    <col min="12" max="12" width="12.6640625" style="1" customWidth="1"/>
    <col min="13" max="15" width="9.77734375" style="1" customWidth="1"/>
    <col min="16" max="16" width="19.44140625" customWidth="1"/>
  </cols>
  <sheetData>
    <row r="1" spans="1:16" s="1" customFormat="1" ht="57.6" x14ac:dyDescent="0.3">
      <c r="A1" s="18" t="s">
        <v>19</v>
      </c>
      <c r="B1" s="18" t="s">
        <v>20</v>
      </c>
      <c r="C1" s="18" t="s">
        <v>21</v>
      </c>
      <c r="D1" s="18" t="s">
        <v>22</v>
      </c>
      <c r="E1" s="18" t="s">
        <v>23</v>
      </c>
      <c r="F1" s="18" t="s">
        <v>24</v>
      </c>
      <c r="G1" s="18" t="s">
        <v>25</v>
      </c>
      <c r="H1" s="18" t="s">
        <v>26</v>
      </c>
      <c r="I1" s="18" t="s">
        <v>27</v>
      </c>
      <c r="J1" s="18" t="s">
        <v>37</v>
      </c>
      <c r="K1" s="18" t="s">
        <v>52</v>
      </c>
      <c r="L1" s="18" t="s">
        <v>50</v>
      </c>
      <c r="M1" s="18" t="s">
        <v>51</v>
      </c>
      <c r="N1" s="18" t="s">
        <v>64</v>
      </c>
      <c r="O1" s="18" t="s">
        <v>71</v>
      </c>
      <c r="P1" s="18" t="s">
        <v>28</v>
      </c>
    </row>
    <row r="2" spans="1:16" ht="57.6" x14ac:dyDescent="0.3">
      <c r="A2" s="6" t="s">
        <v>4</v>
      </c>
      <c r="B2" s="6">
        <v>49.9</v>
      </c>
      <c r="C2" s="6">
        <v>30.5</v>
      </c>
      <c r="D2" s="6">
        <v>19.399999999999999</v>
      </c>
      <c r="E2" s="7">
        <v>7750000</v>
      </c>
      <c r="F2" s="7">
        <v>2363750</v>
      </c>
      <c r="G2" s="7">
        <v>3867250</v>
      </c>
      <c r="H2" s="7">
        <v>1503500</v>
      </c>
      <c r="I2" s="6" t="s">
        <v>30</v>
      </c>
      <c r="J2" s="9" t="s">
        <v>38</v>
      </c>
      <c r="K2" s="16">
        <v>5.5</v>
      </c>
      <c r="L2" s="13">
        <v>21312500</v>
      </c>
      <c r="M2" s="17">
        <v>14.175257731958762</v>
      </c>
      <c r="N2" s="12">
        <v>72.131147540983605</v>
      </c>
      <c r="O2" s="12">
        <v>3606.5573770491801</v>
      </c>
      <c r="P2" s="9" t="s">
        <v>44</v>
      </c>
    </row>
    <row r="3" spans="1:16" ht="57.6" x14ac:dyDescent="0.3">
      <c r="A3" s="6" t="s">
        <v>5</v>
      </c>
      <c r="B3" s="14">
        <v>72</v>
      </c>
      <c r="C3" s="6">
        <v>50.8</v>
      </c>
      <c r="D3" s="6">
        <v>21.2</v>
      </c>
      <c r="E3" s="7">
        <v>4650000</v>
      </c>
      <c r="F3" s="7">
        <v>2362200</v>
      </c>
      <c r="G3" s="7">
        <v>3348000</v>
      </c>
      <c r="H3" s="7">
        <v>985800</v>
      </c>
      <c r="I3" s="6" t="s">
        <v>30</v>
      </c>
      <c r="J3" s="9" t="s">
        <v>39</v>
      </c>
      <c r="K3" s="16">
        <v>5.5</v>
      </c>
      <c r="L3" s="13">
        <v>12787500</v>
      </c>
      <c r="M3" s="17">
        <v>12.971698113207546</v>
      </c>
      <c r="N3" s="12">
        <v>43.30708661417323</v>
      </c>
      <c r="O3" s="12">
        <v>2165.3543307086616</v>
      </c>
      <c r="P3" s="9" t="s">
        <v>44</v>
      </c>
    </row>
    <row r="4" spans="1:16" ht="57.6" x14ac:dyDescent="0.3">
      <c r="A4" s="6" t="s">
        <v>6</v>
      </c>
      <c r="B4" s="6">
        <v>75.8</v>
      </c>
      <c r="C4" s="6">
        <v>54.6</v>
      </c>
      <c r="D4" s="6">
        <v>21.2</v>
      </c>
      <c r="E4" s="7">
        <v>5270000</v>
      </c>
      <c r="F4" s="7">
        <v>2877420</v>
      </c>
      <c r="G4" s="7">
        <v>3994660</v>
      </c>
      <c r="H4" s="7">
        <v>1117240</v>
      </c>
      <c r="I4" s="6" t="s">
        <v>30</v>
      </c>
      <c r="J4" s="9" t="s">
        <v>40</v>
      </c>
      <c r="K4" s="16">
        <v>5.5</v>
      </c>
      <c r="L4" s="13">
        <v>14492500</v>
      </c>
      <c r="M4" s="17">
        <v>12.971698113207546</v>
      </c>
      <c r="N4" s="12">
        <v>40.293040293040292</v>
      </c>
      <c r="O4" s="12">
        <v>2014.6520146520147</v>
      </c>
      <c r="P4" s="9" t="s">
        <v>44</v>
      </c>
    </row>
    <row r="5" spans="1:16" ht="57.6" x14ac:dyDescent="0.3">
      <c r="A5" s="6" t="s">
        <v>7</v>
      </c>
      <c r="B5" s="6">
        <v>36.9</v>
      </c>
      <c r="C5" s="6">
        <v>29.5</v>
      </c>
      <c r="D5" s="6">
        <v>7.4</v>
      </c>
      <c r="E5" s="7">
        <v>5270000</v>
      </c>
      <c r="F5" s="7">
        <v>1554650</v>
      </c>
      <c r="G5" s="7">
        <v>1944630</v>
      </c>
      <c r="H5" s="7">
        <v>389980</v>
      </c>
      <c r="I5" s="6" t="s">
        <v>30</v>
      </c>
      <c r="J5" s="9" t="s">
        <v>41</v>
      </c>
      <c r="K5" s="16">
        <v>5.5</v>
      </c>
      <c r="L5" s="13">
        <v>14492500</v>
      </c>
      <c r="M5" s="17">
        <v>37.162162162162161</v>
      </c>
      <c r="N5" s="12">
        <v>74.576271186440678</v>
      </c>
      <c r="O5" s="12">
        <v>3728.8135593220341</v>
      </c>
      <c r="P5" s="9" t="s">
        <v>44</v>
      </c>
    </row>
    <row r="6" spans="1:16" ht="57.6" x14ac:dyDescent="0.3">
      <c r="A6" s="6" t="s">
        <v>8</v>
      </c>
      <c r="B6" s="6">
        <v>39.299999999999997</v>
      </c>
      <c r="C6" s="6">
        <v>23.7</v>
      </c>
      <c r="D6" s="6">
        <v>15.6</v>
      </c>
      <c r="E6" s="7">
        <v>4030000</v>
      </c>
      <c r="F6" s="7">
        <v>955110</v>
      </c>
      <c r="G6" s="7">
        <v>1583790</v>
      </c>
      <c r="H6" s="7">
        <v>628680</v>
      </c>
      <c r="I6" s="6" t="s">
        <v>30</v>
      </c>
      <c r="J6" s="9" t="s">
        <v>42</v>
      </c>
      <c r="K6" s="16">
        <v>5.5</v>
      </c>
      <c r="L6" s="13">
        <v>11082500</v>
      </c>
      <c r="M6" s="17">
        <v>17.628205128205128</v>
      </c>
      <c r="N6" s="12">
        <v>92.827004219409289</v>
      </c>
      <c r="O6" s="12">
        <v>4641.3502109704641</v>
      </c>
      <c r="P6" s="9" t="s">
        <v>44</v>
      </c>
    </row>
    <row r="7" spans="1:16" ht="57.6" x14ac:dyDescent="0.3">
      <c r="A7" s="6" t="s">
        <v>9</v>
      </c>
      <c r="B7" s="6">
        <v>42.5</v>
      </c>
      <c r="C7" s="6">
        <v>22.2</v>
      </c>
      <c r="D7" s="6">
        <v>20.3</v>
      </c>
      <c r="E7" s="7">
        <v>4030000</v>
      </c>
      <c r="F7" s="7">
        <v>894660</v>
      </c>
      <c r="G7" s="7">
        <v>1712750</v>
      </c>
      <c r="H7" s="7">
        <v>818090</v>
      </c>
      <c r="I7" s="6" t="s">
        <v>30</v>
      </c>
      <c r="J7" s="9" t="s">
        <v>43</v>
      </c>
      <c r="K7" s="16">
        <v>5.5</v>
      </c>
      <c r="L7" s="13">
        <v>11082500</v>
      </c>
      <c r="M7" s="17">
        <v>13.546798029556649</v>
      </c>
      <c r="N7" s="12">
        <v>99.099099099099092</v>
      </c>
      <c r="O7" s="12">
        <v>4954.9549549549547</v>
      </c>
      <c r="P7" s="9" t="s">
        <v>44</v>
      </c>
    </row>
    <row r="8" spans="1:16" x14ac:dyDescent="0.3">
      <c r="A8" s="8" t="s">
        <v>29</v>
      </c>
      <c r="B8" s="14">
        <v>53.067999999999998</v>
      </c>
      <c r="C8" s="14">
        <v>35.509</v>
      </c>
      <c r="D8" s="14">
        <v>17.558999999999997</v>
      </c>
      <c r="E8" s="7">
        <v>31000000</v>
      </c>
      <c r="F8" s="7">
        <v>11007790</v>
      </c>
      <c r="G8" s="7">
        <v>16451080</v>
      </c>
      <c r="H8" s="7">
        <v>5443290</v>
      </c>
      <c r="I8" s="6"/>
      <c r="J8" s="9"/>
      <c r="K8" s="17"/>
      <c r="L8" s="13">
        <v>85250000</v>
      </c>
      <c r="M8" s="17">
        <v>15.661484139187881</v>
      </c>
      <c r="N8" s="12">
        <v>61.9561237996001</v>
      </c>
      <c r="O8" s="12">
        <v>3097.806189980005</v>
      </c>
      <c r="P8" s="6"/>
    </row>
    <row r="9" spans="1:16" x14ac:dyDescent="0.3">
      <c r="F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F0E4-90D1-4999-8689-6E78A1C6393C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BCB5-D8B0-4698-B84E-590234B84EB5}">
  <dimension ref="A1:Q8"/>
  <sheetViews>
    <sheetView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5546875" style="4" customWidth="1"/>
    <col min="2" max="4" width="8.88671875" style="4"/>
    <col min="5" max="8" width="12.33203125" style="4" bestFit="1" customWidth="1"/>
    <col min="9" max="9" width="8.88671875" style="4"/>
    <col min="10" max="10" width="24.5546875" style="5" customWidth="1"/>
    <col min="11" max="12" width="8.88671875" style="4"/>
    <col min="13" max="13" width="12.6640625" style="4" customWidth="1"/>
    <col min="14" max="14" width="8.88671875" style="4"/>
    <col min="15" max="15" width="12.88671875" style="4" customWidth="1"/>
    <col min="16" max="16" width="8.88671875" style="4"/>
    <col min="17" max="17" width="24" style="4" customWidth="1"/>
    <col min="18" max="16384" width="8.88671875" style="4"/>
  </cols>
  <sheetData>
    <row r="1" spans="1:17" s="2" customFormat="1" ht="57.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10</v>
      </c>
      <c r="F1" s="18" t="s">
        <v>11</v>
      </c>
      <c r="G1" s="18" t="s">
        <v>12</v>
      </c>
      <c r="H1" s="18" t="s">
        <v>13</v>
      </c>
      <c r="I1" s="18" t="s">
        <v>15</v>
      </c>
      <c r="J1" s="18" t="s">
        <v>16</v>
      </c>
      <c r="K1" s="18" t="s">
        <v>45</v>
      </c>
      <c r="L1" s="18" t="s">
        <v>46</v>
      </c>
      <c r="M1" s="18" t="s">
        <v>47</v>
      </c>
      <c r="N1" s="18" t="s">
        <v>48</v>
      </c>
      <c r="O1" s="18" t="s">
        <v>17</v>
      </c>
      <c r="P1" s="18" t="s">
        <v>18</v>
      </c>
      <c r="Q1" s="18" t="s">
        <v>14</v>
      </c>
    </row>
    <row r="2" spans="1:17" ht="86.4" x14ac:dyDescent="0.3">
      <c r="A2" s="6" t="s">
        <v>4</v>
      </c>
      <c r="B2" s="6">
        <v>49.9</v>
      </c>
      <c r="C2" s="6">
        <v>30.5</v>
      </c>
      <c r="D2" s="6">
        <v>19.399999999999999</v>
      </c>
      <c r="E2" s="7">
        <f t="shared" ref="E2:E7" si="0">O2*P2</f>
        <v>7750000</v>
      </c>
      <c r="F2" s="7">
        <f>(E2*C2)/100</f>
        <v>2363750</v>
      </c>
      <c r="G2" s="7">
        <f>(E2*B2)/100</f>
        <v>3867250</v>
      </c>
      <c r="H2" s="7">
        <f>G2-F2</f>
        <v>1503500</v>
      </c>
      <c r="I2" s="6" t="s">
        <v>30</v>
      </c>
      <c r="J2" s="9" t="s">
        <v>31</v>
      </c>
      <c r="K2" s="16">
        <v>5.5</v>
      </c>
      <c r="L2" s="15">
        <v>0.5</v>
      </c>
      <c r="M2" s="19">
        <f t="shared" ref="M2:M7" si="1">E2*L2*K2</f>
        <v>21312500</v>
      </c>
      <c r="N2" s="16">
        <f t="shared" ref="N2:N7" si="2">M2/H2</f>
        <v>14.175257731958762</v>
      </c>
      <c r="O2" s="7">
        <v>31000000</v>
      </c>
      <c r="P2" s="6">
        <v>0.25</v>
      </c>
      <c r="Q2" s="9" t="s">
        <v>49</v>
      </c>
    </row>
    <row r="3" spans="1:17" ht="86.4" x14ac:dyDescent="0.3">
      <c r="A3" s="6" t="s">
        <v>5</v>
      </c>
      <c r="B3" s="6">
        <v>72</v>
      </c>
      <c r="C3" s="6">
        <v>50.8</v>
      </c>
      <c r="D3" s="6">
        <v>21.2</v>
      </c>
      <c r="E3" s="7">
        <f t="shared" si="0"/>
        <v>4650000</v>
      </c>
      <c r="F3" s="7">
        <f t="shared" ref="F3:F7" si="3">(E3*C3)/100</f>
        <v>2362200</v>
      </c>
      <c r="G3" s="7">
        <f t="shared" ref="G3:G7" si="4">(E3*B3)/100</f>
        <v>3348000</v>
      </c>
      <c r="H3" s="7">
        <f t="shared" ref="H3:H7" si="5">G3-F3</f>
        <v>985800</v>
      </c>
      <c r="I3" s="6" t="s">
        <v>30</v>
      </c>
      <c r="J3" s="9" t="s">
        <v>32</v>
      </c>
      <c r="K3" s="16">
        <v>5.5</v>
      </c>
      <c r="L3" s="15">
        <v>0.5</v>
      </c>
      <c r="M3" s="19">
        <f t="shared" si="1"/>
        <v>12787500</v>
      </c>
      <c r="N3" s="16">
        <f t="shared" si="2"/>
        <v>12.971698113207546</v>
      </c>
      <c r="O3" s="7">
        <v>31000000</v>
      </c>
      <c r="P3" s="6">
        <v>0.15</v>
      </c>
      <c r="Q3" s="9" t="s">
        <v>49</v>
      </c>
    </row>
    <row r="4" spans="1:17" ht="86.4" x14ac:dyDescent="0.3">
      <c r="A4" s="6" t="s">
        <v>6</v>
      </c>
      <c r="B4" s="6">
        <v>75.8</v>
      </c>
      <c r="C4" s="6">
        <v>54.6</v>
      </c>
      <c r="D4" s="6">
        <v>21.2</v>
      </c>
      <c r="E4" s="7">
        <f t="shared" si="0"/>
        <v>5270000</v>
      </c>
      <c r="F4" s="7">
        <f t="shared" si="3"/>
        <v>2877420</v>
      </c>
      <c r="G4" s="7">
        <f t="shared" si="4"/>
        <v>3994660</v>
      </c>
      <c r="H4" s="7">
        <f t="shared" si="5"/>
        <v>1117240</v>
      </c>
      <c r="I4" s="6" t="s">
        <v>30</v>
      </c>
      <c r="J4" s="9" t="s">
        <v>33</v>
      </c>
      <c r="K4" s="16">
        <v>5.5</v>
      </c>
      <c r="L4" s="15">
        <v>0.5</v>
      </c>
      <c r="M4" s="19">
        <f t="shared" si="1"/>
        <v>14492500</v>
      </c>
      <c r="N4" s="16">
        <f t="shared" si="2"/>
        <v>12.971698113207546</v>
      </c>
      <c r="O4" s="7">
        <v>31000000</v>
      </c>
      <c r="P4" s="6">
        <v>0.17</v>
      </c>
      <c r="Q4" s="9" t="s">
        <v>49</v>
      </c>
    </row>
    <row r="5" spans="1:17" ht="86.4" x14ac:dyDescent="0.3">
      <c r="A5" s="6" t="s">
        <v>7</v>
      </c>
      <c r="B5" s="6">
        <v>36.9</v>
      </c>
      <c r="C5" s="6">
        <v>29.5</v>
      </c>
      <c r="D5" s="6">
        <v>7.4</v>
      </c>
      <c r="E5" s="7">
        <f t="shared" si="0"/>
        <v>5270000</v>
      </c>
      <c r="F5" s="7">
        <f t="shared" si="3"/>
        <v>1554650</v>
      </c>
      <c r="G5" s="7">
        <f t="shared" si="4"/>
        <v>1944630</v>
      </c>
      <c r="H5" s="7">
        <f t="shared" si="5"/>
        <v>389980</v>
      </c>
      <c r="I5" s="6" t="s">
        <v>30</v>
      </c>
      <c r="J5" s="9" t="s">
        <v>36</v>
      </c>
      <c r="K5" s="16">
        <v>5.5</v>
      </c>
      <c r="L5" s="15">
        <v>0.5</v>
      </c>
      <c r="M5" s="19">
        <f t="shared" si="1"/>
        <v>14492500</v>
      </c>
      <c r="N5" s="16">
        <f t="shared" si="2"/>
        <v>37.162162162162161</v>
      </c>
      <c r="O5" s="7">
        <v>31000000</v>
      </c>
      <c r="P5" s="6">
        <v>0.17</v>
      </c>
      <c r="Q5" s="9" t="s">
        <v>49</v>
      </c>
    </row>
    <row r="6" spans="1:17" ht="86.4" x14ac:dyDescent="0.3">
      <c r="A6" s="6" t="s">
        <v>8</v>
      </c>
      <c r="B6" s="6">
        <v>39.299999999999997</v>
      </c>
      <c r="C6" s="6">
        <v>23.7</v>
      </c>
      <c r="D6" s="6">
        <v>15.6</v>
      </c>
      <c r="E6" s="7">
        <f t="shared" si="0"/>
        <v>4030000</v>
      </c>
      <c r="F6" s="7">
        <f t="shared" si="3"/>
        <v>955110</v>
      </c>
      <c r="G6" s="7">
        <f t="shared" si="4"/>
        <v>1583790</v>
      </c>
      <c r="H6" s="7">
        <f t="shared" si="5"/>
        <v>628680</v>
      </c>
      <c r="I6" s="6" t="s">
        <v>30</v>
      </c>
      <c r="J6" s="9" t="s">
        <v>34</v>
      </c>
      <c r="K6" s="16">
        <v>5.5</v>
      </c>
      <c r="L6" s="15">
        <v>0.5</v>
      </c>
      <c r="M6" s="19">
        <f t="shared" si="1"/>
        <v>11082500</v>
      </c>
      <c r="N6" s="16">
        <f t="shared" si="2"/>
        <v>17.628205128205128</v>
      </c>
      <c r="O6" s="7">
        <v>31000000</v>
      </c>
      <c r="P6" s="6">
        <v>0.13</v>
      </c>
      <c r="Q6" s="9" t="s">
        <v>49</v>
      </c>
    </row>
    <row r="7" spans="1:17" ht="86.4" x14ac:dyDescent="0.3">
      <c r="A7" s="6" t="s">
        <v>9</v>
      </c>
      <c r="B7" s="6">
        <v>42.5</v>
      </c>
      <c r="C7" s="6">
        <v>22.2</v>
      </c>
      <c r="D7" s="6">
        <v>20.3</v>
      </c>
      <c r="E7" s="7">
        <f t="shared" si="0"/>
        <v>4030000</v>
      </c>
      <c r="F7" s="7">
        <f t="shared" si="3"/>
        <v>894660</v>
      </c>
      <c r="G7" s="7">
        <f t="shared" si="4"/>
        <v>1712750</v>
      </c>
      <c r="H7" s="7">
        <f t="shared" si="5"/>
        <v>818090</v>
      </c>
      <c r="I7" s="6" t="s">
        <v>30</v>
      </c>
      <c r="J7" s="9" t="s">
        <v>35</v>
      </c>
      <c r="K7" s="16">
        <v>5.5</v>
      </c>
      <c r="L7" s="15">
        <v>0.5</v>
      </c>
      <c r="M7" s="19">
        <f t="shared" si="1"/>
        <v>11082500</v>
      </c>
      <c r="N7" s="16">
        <f t="shared" si="2"/>
        <v>13.546798029556649</v>
      </c>
      <c r="O7" s="7">
        <v>31000000</v>
      </c>
      <c r="P7" s="6">
        <v>0.13</v>
      </c>
      <c r="Q7" s="9" t="s">
        <v>49</v>
      </c>
    </row>
    <row r="8" spans="1:17" x14ac:dyDescent="0.3">
      <c r="A8" s="8" t="s">
        <v>29</v>
      </c>
      <c r="B8" s="20">
        <f>SUMPRODUCT(B2:B7, E2:E7)/SUM(E2:E7)</f>
        <v>53.067999999999998</v>
      </c>
      <c r="C8" s="20">
        <f>SUMPRODUCT(C2:C7, E2:E7)/SUM(E2:E7)</f>
        <v>35.509</v>
      </c>
      <c r="D8" s="20">
        <f>B8-C8</f>
        <v>17.558999999999997</v>
      </c>
      <c r="E8" s="21">
        <f>SUM(E2:E7)</f>
        <v>31000000</v>
      </c>
      <c r="F8" s="21">
        <f>SUM(F2:F7)</f>
        <v>11007790</v>
      </c>
      <c r="G8" s="21">
        <f>SUM(G2:G7)</f>
        <v>16451080</v>
      </c>
      <c r="H8" s="21">
        <f>SUM(H2:H7)</f>
        <v>5443290</v>
      </c>
      <c r="I8" s="6"/>
      <c r="J8" s="9"/>
      <c r="K8" s="16"/>
      <c r="L8" s="6"/>
      <c r="M8" s="22">
        <f>SUM(M2:M7)</f>
        <v>85250000</v>
      </c>
      <c r="N8" s="23">
        <f>M8/H8</f>
        <v>15.661484139187881</v>
      </c>
      <c r="O8" s="6"/>
      <c r="P8" s="6">
        <f>SUM(P2:P7)</f>
        <v>1</v>
      </c>
      <c r="Q8" s="6"/>
    </row>
  </sheetData>
  <conditionalFormatting sqref="B2:C7">
    <cfRule type="expression" dxfId="3" priority="4">
      <formula>$C2&gt;$B2</formula>
    </cfRule>
  </conditionalFormatting>
  <conditionalFormatting sqref="B2:D7">
    <cfRule type="cellIs" dxfId="2" priority="1" operator="greaterThan">
      <formula>100</formula>
    </cfRule>
    <cfRule type="cellIs" dxfId="1" priority="2" operator="lessThan">
      <formula>0</formula>
    </cfRule>
  </conditionalFormatting>
  <conditionalFormatting sqref="F2:G7">
    <cfRule type="expression" dxfId="0" priority="3">
      <formula>$F2&gt;$G2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170B-CA24-497C-A892-38847411A957}">
  <dimension ref="A1"/>
  <sheetViews>
    <sheetView showGridLines="0" workbookViewId="0">
      <selection activeCell="J24" sqref="J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2E696-23A0-4C8D-8420-DCE725007B00}">
  <dimension ref="A1:P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bestFit="1" customWidth="1"/>
    <col min="2" max="2" width="12" customWidth="1"/>
    <col min="3" max="4" width="12.33203125" bestFit="1" customWidth="1"/>
    <col min="6" max="6" width="9.5546875" customWidth="1"/>
    <col min="8" max="8" width="10.88671875" customWidth="1"/>
    <col min="9" max="9" width="9.88671875" bestFit="1" customWidth="1"/>
    <col min="11" max="11" width="15.109375" bestFit="1" customWidth="1"/>
    <col min="12" max="12" width="9" bestFit="1" customWidth="1"/>
    <col min="13" max="13" width="10.109375" bestFit="1" customWidth="1"/>
    <col min="14" max="15" width="9.5546875" customWidth="1"/>
    <col min="16" max="16" width="27.21875" style="1" customWidth="1"/>
  </cols>
  <sheetData>
    <row r="1" spans="1:16" ht="57.6" x14ac:dyDescent="0.3">
      <c r="A1" s="18" t="s">
        <v>0</v>
      </c>
      <c r="B1" s="18" t="s">
        <v>10</v>
      </c>
      <c r="C1" s="18" t="s">
        <v>11</v>
      </c>
      <c r="D1" s="18" t="s">
        <v>53</v>
      </c>
      <c r="E1" s="18" t="s">
        <v>54</v>
      </c>
      <c r="F1" s="18" t="s">
        <v>55</v>
      </c>
      <c r="G1" s="18" t="s">
        <v>56</v>
      </c>
      <c r="H1" s="18" t="s">
        <v>57</v>
      </c>
      <c r="I1" s="18" t="s">
        <v>58</v>
      </c>
      <c r="J1" s="18" t="s">
        <v>62</v>
      </c>
      <c r="K1" s="18" t="s">
        <v>47</v>
      </c>
      <c r="L1" s="18" t="s">
        <v>59</v>
      </c>
      <c r="M1" s="18" t="s">
        <v>60</v>
      </c>
      <c r="N1" s="18" t="s">
        <v>63</v>
      </c>
      <c r="O1" s="18" t="s">
        <v>65</v>
      </c>
      <c r="P1" s="18" t="s">
        <v>14</v>
      </c>
    </row>
    <row r="2" spans="1:16" s="4" customFormat="1" ht="43.2" x14ac:dyDescent="0.3">
      <c r="A2" s="6" t="str">
        <f>zone_metrics_2021!A2</f>
        <v>North Central</v>
      </c>
      <c r="B2" s="7">
        <f>zone_metrics_2021!E2</f>
        <v>7750000</v>
      </c>
      <c r="C2" s="7">
        <f>zone_metrics_2021!F2</f>
        <v>2363750</v>
      </c>
      <c r="D2" s="7">
        <f>zone_metrics_2021!H2</f>
        <v>1503500</v>
      </c>
      <c r="E2" s="6">
        <v>0.25</v>
      </c>
      <c r="F2" s="6">
        <v>0.5</v>
      </c>
      <c r="G2" s="6">
        <v>0.02</v>
      </c>
      <c r="H2" s="21">
        <f t="shared" ref="H2:H7" si="0">C2*$E2*$F2</f>
        <v>295468.75</v>
      </c>
      <c r="I2" s="20">
        <f>H2*G2</f>
        <v>5909.375</v>
      </c>
      <c r="J2" s="21">
        <f>D2*$E2*$F2</f>
        <v>187937.5</v>
      </c>
      <c r="K2" s="19">
        <f>zone_metrics_2021!M2</f>
        <v>21312500</v>
      </c>
      <c r="L2" s="22">
        <f>IFERROR($K2/$H2, "")</f>
        <v>72.131147540983605</v>
      </c>
      <c r="M2" s="22">
        <f>IFERROR($K2/$I2,"")</f>
        <v>3606.5573770491801</v>
      </c>
      <c r="N2" s="22">
        <f>zone_metrics_2021!N2</f>
        <v>14.175257731958762</v>
      </c>
      <c r="O2" s="6">
        <f>RANK(M2,$M$2:$M$7, 1)</f>
        <v>3</v>
      </c>
      <c r="P2" s="9" t="s">
        <v>61</v>
      </c>
    </row>
    <row r="3" spans="1:16" s="4" customFormat="1" ht="43.2" x14ac:dyDescent="0.3">
      <c r="A3" s="6" t="str">
        <f>zone_metrics_2021!A3</f>
        <v>North East</v>
      </c>
      <c r="B3" s="7">
        <f>zone_metrics_2021!E3</f>
        <v>4650000</v>
      </c>
      <c r="C3" s="7">
        <f>zone_metrics_2021!F3</f>
        <v>2362200</v>
      </c>
      <c r="D3" s="7">
        <f>zone_metrics_2021!H3</f>
        <v>985800</v>
      </c>
      <c r="E3" s="6">
        <v>0.25</v>
      </c>
      <c r="F3" s="6">
        <v>0.5</v>
      </c>
      <c r="G3" s="6">
        <v>0.02</v>
      </c>
      <c r="H3" s="21">
        <f t="shared" si="0"/>
        <v>295275</v>
      </c>
      <c r="I3" s="20">
        <f t="shared" ref="I3:I7" si="1">H3*G3</f>
        <v>5905.5</v>
      </c>
      <c r="J3" s="21">
        <f t="shared" ref="J3:J6" si="2">D3*$E3*$F3</f>
        <v>123225</v>
      </c>
      <c r="K3" s="19">
        <f>zone_metrics_2021!M3</f>
        <v>12787500</v>
      </c>
      <c r="L3" s="22">
        <f t="shared" ref="L3:L7" si="3">IFERROR($K3/$H3, "")</f>
        <v>43.30708661417323</v>
      </c>
      <c r="M3" s="22">
        <f t="shared" ref="M3:M7" si="4">IFERROR($K3/$I3,"")</f>
        <v>2165.3543307086616</v>
      </c>
      <c r="N3" s="22">
        <f>zone_metrics_2021!N3</f>
        <v>12.971698113207546</v>
      </c>
      <c r="O3" s="6">
        <f t="shared" ref="O3:O7" si="5">RANK(M3,$M$2:$M$7, 1)</f>
        <v>2</v>
      </c>
      <c r="P3" s="9" t="s">
        <v>61</v>
      </c>
    </row>
    <row r="4" spans="1:16" s="4" customFormat="1" ht="43.2" x14ac:dyDescent="0.3">
      <c r="A4" s="6" t="str">
        <f>zone_metrics_2021!A4</f>
        <v>North West</v>
      </c>
      <c r="B4" s="7">
        <f>zone_metrics_2021!E4</f>
        <v>5270000</v>
      </c>
      <c r="C4" s="7">
        <f>zone_metrics_2021!F4</f>
        <v>2877420</v>
      </c>
      <c r="D4" s="7">
        <f>zone_metrics_2021!H4</f>
        <v>1117240</v>
      </c>
      <c r="E4" s="6">
        <v>0.25</v>
      </c>
      <c r="F4" s="6">
        <v>0.5</v>
      </c>
      <c r="G4" s="6">
        <v>0.02</v>
      </c>
      <c r="H4" s="21">
        <f t="shared" si="0"/>
        <v>359677.5</v>
      </c>
      <c r="I4" s="20">
        <f t="shared" si="1"/>
        <v>7193.55</v>
      </c>
      <c r="J4" s="21">
        <f t="shared" si="2"/>
        <v>139655</v>
      </c>
      <c r="K4" s="19">
        <f>zone_metrics_2021!M4</f>
        <v>14492500</v>
      </c>
      <c r="L4" s="22">
        <f t="shared" si="3"/>
        <v>40.293040293040292</v>
      </c>
      <c r="M4" s="22">
        <f t="shared" si="4"/>
        <v>2014.6520146520147</v>
      </c>
      <c r="N4" s="22">
        <f>zone_metrics_2021!N4</f>
        <v>12.971698113207546</v>
      </c>
      <c r="O4" s="6">
        <f t="shared" si="5"/>
        <v>1</v>
      </c>
      <c r="P4" s="9" t="s">
        <v>61</v>
      </c>
    </row>
    <row r="5" spans="1:16" s="4" customFormat="1" ht="43.2" x14ac:dyDescent="0.3">
      <c r="A5" s="6" t="str">
        <f>zone_metrics_2021!A5</f>
        <v>South East</v>
      </c>
      <c r="B5" s="7">
        <f>zone_metrics_2021!E5</f>
        <v>5270000</v>
      </c>
      <c r="C5" s="7">
        <f>zone_metrics_2021!F5</f>
        <v>1554650</v>
      </c>
      <c r="D5" s="7">
        <f>zone_metrics_2021!H5</f>
        <v>389980</v>
      </c>
      <c r="E5" s="6">
        <v>0.25</v>
      </c>
      <c r="F5" s="6">
        <v>0.5</v>
      </c>
      <c r="G5" s="6">
        <v>0.02</v>
      </c>
      <c r="H5" s="21">
        <f t="shared" si="0"/>
        <v>194331.25</v>
      </c>
      <c r="I5" s="20">
        <f t="shared" si="1"/>
        <v>3886.625</v>
      </c>
      <c r="J5" s="21">
        <f t="shared" si="2"/>
        <v>48747.5</v>
      </c>
      <c r="K5" s="19">
        <f>zone_metrics_2021!M5</f>
        <v>14492500</v>
      </c>
      <c r="L5" s="22">
        <f t="shared" si="3"/>
        <v>74.576271186440678</v>
      </c>
      <c r="M5" s="22">
        <f t="shared" si="4"/>
        <v>3728.8135593220341</v>
      </c>
      <c r="N5" s="22">
        <f>zone_metrics_2021!N5</f>
        <v>37.162162162162161</v>
      </c>
      <c r="O5" s="6">
        <f t="shared" si="5"/>
        <v>4</v>
      </c>
      <c r="P5" s="9" t="s">
        <v>61</v>
      </c>
    </row>
    <row r="6" spans="1:16" s="4" customFormat="1" ht="43.2" x14ac:dyDescent="0.3">
      <c r="A6" s="6" t="str">
        <f>zone_metrics_2021!A6</f>
        <v>South South</v>
      </c>
      <c r="B6" s="7">
        <f>zone_metrics_2021!E6</f>
        <v>4030000</v>
      </c>
      <c r="C6" s="7">
        <f>zone_metrics_2021!F6</f>
        <v>955110</v>
      </c>
      <c r="D6" s="7">
        <f>zone_metrics_2021!H6</f>
        <v>628680</v>
      </c>
      <c r="E6" s="6">
        <v>0.25</v>
      </c>
      <c r="F6" s="6">
        <v>0.5</v>
      </c>
      <c r="G6" s="6">
        <v>0.02</v>
      </c>
      <c r="H6" s="21">
        <f t="shared" si="0"/>
        <v>119388.75</v>
      </c>
      <c r="I6" s="20">
        <f t="shared" si="1"/>
        <v>2387.7750000000001</v>
      </c>
      <c r="J6" s="21">
        <f t="shared" si="2"/>
        <v>78585</v>
      </c>
      <c r="K6" s="19">
        <f>zone_metrics_2021!M6</f>
        <v>11082500</v>
      </c>
      <c r="L6" s="22">
        <f t="shared" si="3"/>
        <v>92.827004219409289</v>
      </c>
      <c r="M6" s="22">
        <f t="shared" si="4"/>
        <v>4641.3502109704641</v>
      </c>
      <c r="N6" s="22">
        <f>zone_metrics_2021!N6</f>
        <v>17.628205128205128</v>
      </c>
      <c r="O6" s="6">
        <f t="shared" si="5"/>
        <v>5</v>
      </c>
      <c r="P6" s="9" t="s">
        <v>61</v>
      </c>
    </row>
    <row r="7" spans="1:16" s="4" customFormat="1" ht="43.2" x14ac:dyDescent="0.3">
      <c r="A7" s="6" t="str">
        <f>zone_metrics_2021!A7</f>
        <v>South West</v>
      </c>
      <c r="B7" s="7">
        <f>zone_metrics_2021!E7</f>
        <v>4030000</v>
      </c>
      <c r="C7" s="7">
        <f>zone_metrics_2021!F7</f>
        <v>894660</v>
      </c>
      <c r="D7" s="7">
        <f>zone_metrics_2021!H7</f>
        <v>818090</v>
      </c>
      <c r="E7" s="6">
        <v>0.25</v>
      </c>
      <c r="F7" s="6">
        <v>0.5</v>
      </c>
      <c r="G7" s="6">
        <v>0.02</v>
      </c>
      <c r="H7" s="21">
        <f t="shared" si="0"/>
        <v>111832.5</v>
      </c>
      <c r="I7" s="20">
        <f t="shared" si="1"/>
        <v>2236.65</v>
      </c>
      <c r="J7" s="21">
        <f>D7*$E7*$F7</f>
        <v>102261.25</v>
      </c>
      <c r="K7" s="19">
        <f>zone_metrics_2021!M7</f>
        <v>11082500</v>
      </c>
      <c r="L7" s="22">
        <f t="shared" si="3"/>
        <v>99.099099099099092</v>
      </c>
      <c r="M7" s="22">
        <f t="shared" si="4"/>
        <v>4954.9549549549547</v>
      </c>
      <c r="N7" s="22">
        <f>zone_metrics_2021!N7</f>
        <v>13.546798029556649</v>
      </c>
      <c r="O7" s="6">
        <f t="shared" si="5"/>
        <v>6</v>
      </c>
      <c r="P7" s="9" t="s">
        <v>61</v>
      </c>
    </row>
    <row r="8" spans="1:16" x14ac:dyDescent="0.3">
      <c r="A8" s="24" t="s">
        <v>29</v>
      </c>
      <c r="B8" s="21">
        <f>SUM(B2:B7)</f>
        <v>31000000</v>
      </c>
      <c r="C8" s="21">
        <f t="shared" ref="C8:I8" si="6">SUM(C2:C7)</f>
        <v>11007790</v>
      </c>
      <c r="D8" s="21">
        <f t="shared" si="6"/>
        <v>5443290</v>
      </c>
      <c r="E8" s="21"/>
      <c r="F8" s="21"/>
      <c r="G8" s="21"/>
      <c r="H8" s="21">
        <f t="shared" si="6"/>
        <v>1375973.75</v>
      </c>
      <c r="I8" s="20">
        <f t="shared" si="6"/>
        <v>27519.475000000002</v>
      </c>
      <c r="J8" s="25">
        <f>SUM(J2:J7)</f>
        <v>680411.25</v>
      </c>
      <c r="K8" s="26">
        <f>SUM(K2:K7)</f>
        <v>85250000</v>
      </c>
      <c r="L8" s="26">
        <f>IFERROR($K8/$H8, "")</f>
        <v>61.9561237996001</v>
      </c>
      <c r="M8" s="26">
        <f>IFERROR($K8/$I8, "")</f>
        <v>3097.806189980005</v>
      </c>
      <c r="N8" s="26">
        <f>IFERROR($K8/$D8, "")</f>
        <v>15.661484139187881</v>
      </c>
      <c r="O8" s="26"/>
      <c r="P8" s="27"/>
    </row>
  </sheetData>
  <sortState xmlns:xlrd2="http://schemas.microsoft.com/office/spreadsheetml/2017/richdata2" ref="T2:U7">
    <sortCondition ref="U2:U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A897-05EF-45F4-B54F-F8CFC75E10FB}">
  <dimension ref="A1:D7"/>
  <sheetViews>
    <sheetView workbookViewId="0"/>
  </sheetViews>
  <sheetFormatPr defaultRowHeight="14.4" x14ac:dyDescent="0.3"/>
  <cols>
    <col min="1" max="1" width="12.109375" bestFit="1" customWidth="1"/>
  </cols>
  <sheetData>
    <row r="1" spans="1:4" ht="43.2" x14ac:dyDescent="0.3">
      <c r="A1" s="2" t="s">
        <v>0</v>
      </c>
      <c r="B1" s="2" t="s">
        <v>60</v>
      </c>
      <c r="C1" s="2" t="s">
        <v>3</v>
      </c>
      <c r="D1" s="2" t="s">
        <v>59</v>
      </c>
    </row>
    <row r="2" spans="1:4" x14ac:dyDescent="0.3">
      <c r="A2" s="4" t="s">
        <v>6</v>
      </c>
      <c r="B2" s="11">
        <v>2014.6520146520147</v>
      </c>
      <c r="C2">
        <f>zone_metrics_2021!D2</f>
        <v>19.399999999999999</v>
      </c>
      <c r="D2" s="10">
        <f>impact_model_2021!L2</f>
        <v>72.131147540983605</v>
      </c>
    </row>
    <row r="3" spans="1:4" x14ac:dyDescent="0.3">
      <c r="A3" s="4" t="s">
        <v>5</v>
      </c>
      <c r="B3" s="11">
        <v>2165.3543307086616</v>
      </c>
      <c r="C3">
        <f>zone_metrics_2021!D3</f>
        <v>21.2</v>
      </c>
      <c r="D3" s="10">
        <f>impact_model_2021!L3</f>
        <v>43.30708661417323</v>
      </c>
    </row>
    <row r="4" spans="1:4" x14ac:dyDescent="0.3">
      <c r="A4" s="4" t="s">
        <v>4</v>
      </c>
      <c r="B4" s="11">
        <v>3606.5573770491801</v>
      </c>
      <c r="C4">
        <f>zone_metrics_2021!D4</f>
        <v>21.2</v>
      </c>
      <c r="D4" s="10">
        <f>impact_model_2021!L4</f>
        <v>40.293040293040292</v>
      </c>
    </row>
    <row r="5" spans="1:4" x14ac:dyDescent="0.3">
      <c r="A5" s="4" t="s">
        <v>7</v>
      </c>
      <c r="B5" s="11">
        <v>3728.8135593220341</v>
      </c>
      <c r="C5">
        <f>zone_metrics_2021!D5</f>
        <v>7.4</v>
      </c>
      <c r="D5" s="10">
        <f>impact_model_2021!L5</f>
        <v>74.576271186440678</v>
      </c>
    </row>
    <row r="6" spans="1:4" x14ac:dyDescent="0.3">
      <c r="A6" s="4" t="s">
        <v>8</v>
      </c>
      <c r="B6" s="11">
        <v>4641.3502109704641</v>
      </c>
      <c r="C6">
        <f>zone_metrics_2021!D6</f>
        <v>15.6</v>
      </c>
      <c r="D6" s="10">
        <f>impact_model_2021!L6</f>
        <v>92.827004219409289</v>
      </c>
    </row>
    <row r="7" spans="1:4" x14ac:dyDescent="0.3">
      <c r="A7" s="4" t="s">
        <v>9</v>
      </c>
      <c r="B7" s="11">
        <v>4954.9549549549547</v>
      </c>
      <c r="C7">
        <f>zone_metrics_2021!D7</f>
        <v>20.3</v>
      </c>
      <c r="D7" s="10">
        <f>impact_model_2021!L7</f>
        <v>99.099099099099092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executive_summary_2021</vt:lpstr>
      <vt:lpstr>dashboard_2021</vt:lpstr>
      <vt:lpstr>zone_summary_table_2021</vt:lpstr>
      <vt:lpstr>zone_visuals_2021</vt:lpstr>
      <vt:lpstr>zone_metrics_2021</vt:lpstr>
      <vt:lpstr>impact_visuals_2021</vt:lpstr>
      <vt:lpstr>impact_model_2021</vt:lpstr>
      <vt:lpstr>visualisation_helper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 Joshi</cp:lastModifiedBy>
  <cp:lastPrinted>2025-12-15T11:58:15Z</cp:lastPrinted>
  <dcterms:created xsi:type="dcterms:W3CDTF">2025-12-02T22:18:35Z</dcterms:created>
  <dcterms:modified xsi:type="dcterms:W3CDTF">2025-12-15T18:09:02Z</dcterms:modified>
</cp:coreProperties>
</file>