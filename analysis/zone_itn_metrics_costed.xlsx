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eha\UK\Jobs\Skills\Portfolio\project_01_malaria_CEA\analysis\"/>
    </mc:Choice>
  </mc:AlternateContent>
  <xr:revisionPtr revIDLastSave="0" documentId="13_ncr:1_{36BADF83-1836-42E7-A2E3-DE606FD01C1B}" xr6:coauthVersionLast="47" xr6:coauthVersionMax="47" xr10:uidLastSave="{00000000-0000-0000-0000-000000000000}"/>
  <bookViews>
    <workbookView xWindow="-108" yWindow="-108" windowWidth="23256" windowHeight="12456" xr2:uid="{77F6BC26-A1EF-4C2D-B74F-459D05D45568}"/>
  </bookViews>
  <sheets>
    <sheet name="zone_summary_table_2021" sheetId="2" r:id="rId1"/>
    <sheet name="zone_visuals_2021" sheetId="3" r:id="rId2"/>
    <sheet name="zone_metrics_2021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2" l="1"/>
  <c r="G8" i="2"/>
  <c r="F8" i="2"/>
  <c r="E8" i="2"/>
  <c r="E3" i="1"/>
  <c r="F3" i="1" s="1"/>
  <c r="E4" i="1"/>
  <c r="F4" i="1" s="1"/>
  <c r="E5" i="1"/>
  <c r="F5" i="1" s="1"/>
  <c r="E6" i="1"/>
  <c r="F6" i="1" s="1"/>
  <c r="E7" i="1"/>
  <c r="F7" i="1" s="1"/>
  <c r="E2" i="1"/>
  <c r="F2" i="1" s="1"/>
  <c r="G5" i="1" l="1"/>
  <c r="H5" i="1" s="1"/>
  <c r="G2" i="1"/>
  <c r="H2" i="1" s="1"/>
  <c r="G7" i="1"/>
  <c r="H7" i="1" s="1"/>
  <c r="G6" i="1"/>
  <c r="H6" i="1" s="1"/>
  <c r="G4" i="1"/>
  <c r="H4" i="1" s="1"/>
  <c r="G3" i="1"/>
  <c r="H3" i="1" s="1"/>
</calcChain>
</file>

<file path=xl/sharedStrings.xml><?xml version="1.0" encoding="utf-8"?>
<sst xmlns="http://schemas.openxmlformats.org/spreadsheetml/2006/main" count="73" uniqueCount="45">
  <si>
    <t>zone</t>
  </si>
  <si>
    <t>itn_ownership_households_pct</t>
  </si>
  <si>
    <t>u5_itn_usage_pct</t>
  </si>
  <si>
    <t>usage_gap_pct</t>
  </si>
  <si>
    <t>North Central</t>
  </si>
  <si>
    <t>North East</t>
  </si>
  <si>
    <t>North West</t>
  </si>
  <si>
    <t>South East</t>
  </si>
  <si>
    <t>South South</t>
  </si>
  <si>
    <t>South West</t>
  </si>
  <si>
    <t>u5_population_estimate</t>
  </si>
  <si>
    <t>children_protected</t>
  </si>
  <si>
    <t>children_potentially_protected</t>
  </si>
  <si>
    <t>addl_children_if_gap_closed</t>
  </si>
  <si>
    <t>notes_source</t>
  </si>
  <si>
    <t>data_confidence</t>
  </si>
  <si>
    <t>qual_context_notes</t>
  </si>
  <si>
    <t>national_total</t>
  </si>
  <si>
    <t>zone_share</t>
  </si>
  <si>
    <t>Zone</t>
  </si>
  <si>
    <t>ITN Ownership (%)</t>
  </si>
  <si>
    <t>ITN Usage (%)</t>
  </si>
  <si>
    <t>Usage Gap (%)</t>
  </si>
  <si>
    <t>U5 Population Estimate</t>
  </si>
  <si>
    <t>Children Protected</t>
  </si>
  <si>
    <t>Children Potentially Protected</t>
  </si>
  <si>
    <t>Additional Children if Gap Closed</t>
  </si>
  <si>
    <t>Data Confidence</t>
  </si>
  <si>
    <t>Notes Source</t>
  </si>
  <si>
    <t>National Total</t>
  </si>
  <si>
    <t>High</t>
  </si>
  <si>
    <t>Moderate non-use (21.5%); driven by heat (22%) and no-mosquito perception (22%); lowest ‘not needed’ rate (16%) suggests awareness gains.</t>
  </si>
  <si>
    <t>Relatively low net non-use (17.3%); ‘not needed (26%)’ and ‘no mosquitoes (24%)’ indicate perceived lower risk</t>
  </si>
  <si>
    <t>Lowest net non-use (15.8%); main reasons ‘not needed (27%)’ and ‘old/torn nets (16%)’; usage limited by wear-and-tear.</t>
  </si>
  <si>
    <t>High non-use (43.8%); dominated by ‘too hot (28%)’ and ‘not needed (18%)’; climate discomfort major barrier.</t>
  </si>
  <si>
    <t>Highest non-use (46.6%); ‘not needed (22%)’ and ‘too hot (19%)’; reflect comfort and urban lifestyle factors.</t>
  </si>
  <si>
    <t>High net non-use (42.6%); key reasons ‘not needed (35%)’ and ‘too hot (23%)’; strong perception of low malaria risk.</t>
  </si>
  <si>
    <t>Qualitative Summary</t>
  </si>
  <si>
    <t>Heat and no-mosquito perception; relatively aware zone</t>
  </si>
  <si>
    <t>Low non-use; perceived low risk despite high ownership</t>
  </si>
  <si>
    <t>Low non-use; ageing nets limit usage</t>
  </si>
  <si>
    <t>High non-use; low perceived risk, too hot</t>
  </si>
  <si>
    <t>High non-use; heat and comfort barriers</t>
  </si>
  <si>
    <t>Highest non-use; comfort and urban lifestyle</t>
  </si>
  <si>
    <t>UN WPP 2021 (U5 pop); NMIS 2021 Table 3.8.1 (qual notes)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</si>
</sst>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64" fontId="0" fillId="0" borderId="0" xfId="42" applyNumberFormat="1" applyFont="1" applyAlignment="1">
      <alignment vertical="top"/>
    </xf>
    <xf numFmtId="0" fontId="0" fillId="0" borderId="10" xfId="0" applyBorder="1" applyAlignment="1">
      <alignment vertical="top"/>
    </xf>
    <xf numFmtId="164" fontId="0" fillId="0" borderId="10" xfId="42" applyNumberFormat="1" applyFont="1" applyBorder="1" applyAlignment="1">
      <alignment vertical="top"/>
    </xf>
    <xf numFmtId="0" fontId="16" fillId="0" borderId="10" xfId="0" applyFont="1" applyBorder="1" applyAlignment="1">
      <alignment vertical="top"/>
    </xf>
    <xf numFmtId="0" fontId="0" fillId="0" borderId="10" xfId="0" applyBorder="1" applyAlignment="1">
      <alignment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B0B0B0"/>
      <color rgb="FFFFA726"/>
      <color rgb="FF4CAF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/>
              <a:t>ITN Ownership</a:t>
            </a:r>
            <a:r>
              <a:rPr lang="en-IN" sz="1200" baseline="0"/>
              <a:t> vs Usage by Zone (Children Under 5, 2021)</a:t>
            </a:r>
            <a:endParaRPr lang="en-IN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ITN Ownership (%)</c:v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zone_summary_table_2021!$A$2:$A$7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zone_summary_table_2021!$B$2:$B$7</c:f>
              <c:numCache>
                <c:formatCode>General</c:formatCode>
                <c:ptCount val="6"/>
                <c:pt idx="0">
                  <c:v>49.9</c:v>
                </c:pt>
                <c:pt idx="1">
                  <c:v>72</c:v>
                </c:pt>
                <c:pt idx="2">
                  <c:v>75.8</c:v>
                </c:pt>
                <c:pt idx="3">
                  <c:v>36.9</c:v>
                </c:pt>
                <c:pt idx="4">
                  <c:v>39.299999999999997</c:v>
                </c:pt>
                <c:pt idx="5">
                  <c:v>42.5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BE-4CFD-AA67-36C28244FF7D}"/>
            </c:ext>
          </c:extLst>
        </c:ser>
        <c:ser>
          <c:idx val="1"/>
          <c:order val="1"/>
          <c:tx>
            <c:v>ITN Usage (%)</c:v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zone_summary_table_2021!$A$2:$A$7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zone_summary_table_2021!$C$2:$C$7</c:f>
              <c:numCache>
                <c:formatCode>General</c:formatCode>
                <c:ptCount val="6"/>
                <c:pt idx="0">
                  <c:v>30.5</c:v>
                </c:pt>
                <c:pt idx="1">
                  <c:v>50.8</c:v>
                </c:pt>
                <c:pt idx="2">
                  <c:v>54.6</c:v>
                </c:pt>
                <c:pt idx="3">
                  <c:v>29.5</c:v>
                </c:pt>
                <c:pt idx="4">
                  <c:v>23.7</c:v>
                </c:pt>
                <c:pt idx="5">
                  <c:v>22.2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BE-4CFD-AA67-36C28244F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6396688"/>
        <c:axId val="1876398128"/>
      </c:barChart>
      <c:catAx>
        <c:axId val="1876396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Zone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398128"/>
        <c:crosses val="autoZero"/>
        <c:auto val="1"/>
        <c:lblAlgn val="ctr"/>
        <c:lblOffset val="100"/>
        <c:noMultiLvlLbl val="0"/>
      </c:catAx>
      <c:valAx>
        <c:axId val="187639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Percentage</a:t>
                </a:r>
                <a:r>
                  <a:rPr lang="en-IN" baseline="0"/>
                  <a:t> (%)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39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0" i="0" u="none" strike="noStrike" baseline="0"/>
              <a:t>Potential Additional Children Protected if Ownership–Usage Gap Closed</a:t>
            </a:r>
            <a:endParaRPr lang="en-IN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zone_summary_table_2021!$A$2:$A$7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zone_summary_table_2021!$H$2:$H$7</c:f>
              <c:numCache>
                <c:formatCode>_ * #,##0_ ;_ * \-#,##0_ ;_ * "-"??_ ;_ @_ </c:formatCode>
                <c:ptCount val="6"/>
                <c:pt idx="0">
                  <c:v>1503500</c:v>
                </c:pt>
                <c:pt idx="1">
                  <c:v>985800</c:v>
                </c:pt>
                <c:pt idx="2">
                  <c:v>1117240</c:v>
                </c:pt>
                <c:pt idx="3">
                  <c:v>389980</c:v>
                </c:pt>
                <c:pt idx="4">
                  <c:v>628680</c:v>
                </c:pt>
                <c:pt idx="5">
                  <c:v>818090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C9-4902-9698-367DFB310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6412048"/>
        <c:axId val="1876409648"/>
      </c:barChart>
      <c:catAx>
        <c:axId val="18764120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Zone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409648"/>
        <c:crosses val="autoZero"/>
        <c:auto val="1"/>
        <c:lblAlgn val="ctr"/>
        <c:lblOffset val="100"/>
        <c:noMultiLvlLbl val="0"/>
      </c:catAx>
      <c:valAx>
        <c:axId val="1876409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children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412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0" i="0" u="none" strike="noStrike" baseline="0"/>
              <a:t>ITN Usage vs Ownership by Zone (Nigeria 2021)</a:t>
            </a:r>
            <a:endParaRPr lang="en-IN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A726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8.3333333333332309E-3"/>
                  <c:y val="4.1666666666666664E-2"/>
                </c:manualLayout>
              </c:layout>
              <c:tx>
                <c:rich>
                  <a:bodyPr/>
                  <a:lstStyle/>
                  <a:p>
                    <a:fld id="{038FBB4A-64A0-44FB-B12A-4DEF84451279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6623-48EA-887D-7513D8DCACA0}"/>
                </c:ext>
              </c:extLst>
            </c:dLbl>
            <c:dLbl>
              <c:idx val="1"/>
              <c:layout>
                <c:manualLayout>
                  <c:x val="-0.15555555555555545"/>
                  <c:y val="1.3888888888888888E-2"/>
                </c:manualLayout>
              </c:layout>
              <c:tx>
                <c:rich>
                  <a:bodyPr/>
                  <a:lstStyle/>
                  <a:p>
                    <a:fld id="{D94D37BF-439E-4E0F-9FF7-6030100859D4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6623-48EA-887D-7513D8DCACA0}"/>
                </c:ext>
              </c:extLst>
            </c:dLbl>
            <c:dLbl>
              <c:idx val="2"/>
              <c:layout>
                <c:manualLayout>
                  <c:x val="-0.14722222222222234"/>
                  <c:y val="-2.7777777777777821E-2"/>
                </c:manualLayout>
              </c:layout>
              <c:tx>
                <c:rich>
                  <a:bodyPr/>
                  <a:lstStyle/>
                  <a:p>
                    <a:fld id="{31F01FE3-25CF-4D5E-8B15-C2B19A569D9F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6623-48EA-887D-7513D8DCACA0}"/>
                </c:ext>
              </c:extLst>
            </c:dLbl>
            <c:dLbl>
              <c:idx val="3"/>
              <c:layout>
                <c:manualLayout>
                  <c:x val="-0.15833333333333338"/>
                  <c:y val="-9.2592592592592587E-3"/>
                </c:manualLayout>
              </c:layout>
              <c:tx>
                <c:rich>
                  <a:bodyPr/>
                  <a:lstStyle/>
                  <a:p>
                    <a:fld id="{1DBD76AC-F72E-40DC-AE46-63CAE0671A2D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6623-48EA-887D-7513D8DCACA0}"/>
                </c:ext>
              </c:extLst>
            </c:dLbl>
            <c:dLbl>
              <c:idx val="4"/>
              <c:layout>
                <c:manualLayout>
                  <c:x val="-0.17222222222222228"/>
                  <c:y val="4.1666666666666664E-2"/>
                </c:manualLayout>
              </c:layout>
              <c:tx>
                <c:rich>
                  <a:bodyPr/>
                  <a:lstStyle/>
                  <a:p>
                    <a:fld id="{EC7C4926-D5DD-4BC6-B778-298147081844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6623-48EA-887D-7513D8DCACA0}"/>
                </c:ext>
              </c:extLst>
            </c:dLbl>
            <c:dLbl>
              <c:idx val="5"/>
              <c:layout>
                <c:manualLayout>
                  <c:x val="-3.888888888888889E-2"/>
                  <c:y val="5.5555555555555552E-2"/>
                </c:manualLayout>
              </c:layout>
              <c:tx>
                <c:rich>
                  <a:bodyPr/>
                  <a:lstStyle/>
                  <a:p>
                    <a:fld id="{3824B126-5886-4BAA-B0D4-4EA23B5AB09F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6623-48EA-887D-7513D8DCAC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rgbClr val="B0B0B0"/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xVal>
            <c:numRef>
              <c:f>zone_summary_table_2021!$B$2:$B$7</c:f>
              <c:numCache>
                <c:formatCode>General</c:formatCode>
                <c:ptCount val="6"/>
                <c:pt idx="0">
                  <c:v>49.9</c:v>
                </c:pt>
                <c:pt idx="1">
                  <c:v>72</c:v>
                </c:pt>
                <c:pt idx="2">
                  <c:v>75.8</c:v>
                </c:pt>
                <c:pt idx="3">
                  <c:v>36.9</c:v>
                </c:pt>
                <c:pt idx="4">
                  <c:v>39.299999999999997</c:v>
                </c:pt>
                <c:pt idx="5">
                  <c:v>42.5</c:v>
                </c:pt>
              </c:numCache>
            </c:numRef>
          </c:xVal>
          <c:yVal>
            <c:numRef>
              <c:f>zone_summary_table_2021!$C$2:$C$7</c:f>
              <c:numCache>
                <c:formatCode>General</c:formatCode>
                <c:ptCount val="6"/>
                <c:pt idx="0">
                  <c:v>30.5</c:v>
                </c:pt>
                <c:pt idx="1">
                  <c:v>50.8</c:v>
                </c:pt>
                <c:pt idx="2">
                  <c:v>54.6</c:v>
                </c:pt>
                <c:pt idx="3">
                  <c:v>29.5</c:v>
                </c:pt>
                <c:pt idx="4">
                  <c:v>23.7</c:v>
                </c:pt>
                <c:pt idx="5">
                  <c:v>22.2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zone_summary_table_2021!$A$2:$A$7</c15:f>
                <c15:dlblRangeCache>
                  <c:ptCount val="6"/>
                  <c:pt idx="0">
                    <c:v>North Central</c:v>
                  </c:pt>
                  <c:pt idx="1">
                    <c:v>North East</c:v>
                  </c:pt>
                  <c:pt idx="2">
                    <c:v>North West</c:v>
                  </c:pt>
                  <c:pt idx="3">
                    <c:v>South East</c:v>
                  </c:pt>
                  <c:pt idx="4">
                    <c:v>South South</c:v>
                  </c:pt>
                  <c:pt idx="5">
                    <c:v>South West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6623-48EA-887D-7513D8DCA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6792512"/>
        <c:axId val="1636803552"/>
      </c:scatterChart>
      <c:valAx>
        <c:axId val="1636792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ITN Ownership (%)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803552"/>
        <c:crosses val="autoZero"/>
        <c:crossBetween val="midCat"/>
      </c:valAx>
      <c:valAx>
        <c:axId val="163680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ITN</a:t>
                </a:r>
                <a:r>
                  <a:rPr lang="en-IN" baseline="0"/>
                  <a:t> Usage (%)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792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365760</xdr:colOff>
      <xdr:row>2</xdr:row>
      <xdr:rowOff>3810</xdr:rowOff>
    </xdr:from>
    <xdr:to>
      <xdr:col>8</xdr:col>
      <xdr:colOff>60960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D5772B-B52B-4A55-8A0B-E973CC8EA5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9</xdr:col>
      <xdr:colOff>179070</xdr:colOff>
      <xdr:row>2</xdr:row>
      <xdr:rowOff>7620</xdr:rowOff>
    </xdr:from>
    <xdr:to>
      <xdr:col>16</xdr:col>
      <xdr:colOff>483870</xdr:colOff>
      <xdr:row>17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6FEB99-3421-4F11-8A09-192E149EE7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17</xdr:col>
      <xdr:colOff>601980</xdr:colOff>
      <xdr:row>2</xdr:row>
      <xdr:rowOff>0</xdr:rowOff>
    </xdr:from>
    <xdr:to>
      <xdr:col>25</xdr:col>
      <xdr:colOff>297180</xdr:colOff>
      <xdr:row>17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3FFB434-F76C-4C1E-8347-CBAC888759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BC93B-04D9-4D13-BB88-759F51C59CAD}">
  <dimension ref="A1:K9"/>
  <sheetViews>
    <sheetView tabSelected="1" workbookViewId="0">
      <selection activeCell="M5" sqref="M5"/>
    </sheetView>
  </sheetViews>
  <sheetFormatPr defaultRowHeight="14.4" x14ac:dyDescent="0.3"/>
  <cols>
    <col min="1" max="1" width="12.77734375" bestFit="1" customWidth="1"/>
    <col min="2" max="2" width="9.88671875" customWidth="1"/>
    <col min="5" max="7" width="11.21875" bestFit="1" customWidth="1"/>
    <col min="8" max="8" width="10.77734375" customWidth="1"/>
    <col min="9" max="9" width="10.33203125" customWidth="1"/>
    <col min="10" max="10" width="19.88671875" style="1" customWidth="1"/>
    <col min="11" max="11" width="19.44140625" customWidth="1"/>
  </cols>
  <sheetData>
    <row r="1" spans="1:11" s="1" customFormat="1" ht="43.2" x14ac:dyDescent="0.3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37</v>
      </c>
      <c r="K1" s="3" t="s">
        <v>28</v>
      </c>
    </row>
    <row r="2" spans="1:11" ht="57.6" x14ac:dyDescent="0.3">
      <c r="A2" s="8" t="s">
        <v>4</v>
      </c>
      <c r="B2" s="8">
        <v>49.9</v>
      </c>
      <c r="C2" s="8">
        <v>30.5</v>
      </c>
      <c r="D2" s="8">
        <v>19.399999999999999</v>
      </c>
      <c r="E2" s="9">
        <v>7750000</v>
      </c>
      <c r="F2" s="9">
        <v>2363750</v>
      </c>
      <c r="G2" s="9">
        <v>3867250</v>
      </c>
      <c r="H2" s="9">
        <v>1503500</v>
      </c>
      <c r="I2" s="8" t="s">
        <v>30</v>
      </c>
      <c r="J2" s="11" t="s">
        <v>38</v>
      </c>
      <c r="K2" s="11" t="s">
        <v>44</v>
      </c>
    </row>
    <row r="3" spans="1:11" ht="57.6" x14ac:dyDescent="0.3">
      <c r="A3" s="8" t="s">
        <v>5</v>
      </c>
      <c r="B3" s="8">
        <v>72</v>
      </c>
      <c r="C3" s="8">
        <v>50.8</v>
      </c>
      <c r="D3" s="8">
        <v>21.2</v>
      </c>
      <c r="E3" s="9">
        <v>4650000</v>
      </c>
      <c r="F3" s="9">
        <v>2362200</v>
      </c>
      <c r="G3" s="9">
        <v>3348000</v>
      </c>
      <c r="H3" s="9">
        <v>985800</v>
      </c>
      <c r="I3" s="8" t="s">
        <v>30</v>
      </c>
      <c r="J3" s="11" t="s">
        <v>39</v>
      </c>
      <c r="K3" s="11" t="s">
        <v>44</v>
      </c>
    </row>
    <row r="4" spans="1:11" ht="57.6" x14ac:dyDescent="0.3">
      <c r="A4" s="8" t="s">
        <v>6</v>
      </c>
      <c r="B4" s="8">
        <v>75.8</v>
      </c>
      <c r="C4" s="8">
        <v>54.6</v>
      </c>
      <c r="D4" s="8">
        <v>21.2</v>
      </c>
      <c r="E4" s="9">
        <v>5270000</v>
      </c>
      <c r="F4" s="9">
        <v>2877420</v>
      </c>
      <c r="G4" s="9">
        <v>3994660</v>
      </c>
      <c r="H4" s="9">
        <v>1117240</v>
      </c>
      <c r="I4" s="8" t="s">
        <v>30</v>
      </c>
      <c r="J4" s="11" t="s">
        <v>40</v>
      </c>
      <c r="K4" s="11" t="s">
        <v>44</v>
      </c>
    </row>
    <row r="5" spans="1:11" ht="57.6" x14ac:dyDescent="0.3">
      <c r="A5" s="8" t="s">
        <v>7</v>
      </c>
      <c r="B5" s="8">
        <v>36.9</v>
      </c>
      <c r="C5" s="8">
        <v>29.5</v>
      </c>
      <c r="D5" s="8">
        <v>7.4</v>
      </c>
      <c r="E5" s="9">
        <v>5270000</v>
      </c>
      <c r="F5" s="9">
        <v>1554650</v>
      </c>
      <c r="G5" s="9">
        <v>1944630</v>
      </c>
      <c r="H5" s="9">
        <v>389980</v>
      </c>
      <c r="I5" s="8" t="s">
        <v>30</v>
      </c>
      <c r="J5" s="11" t="s">
        <v>41</v>
      </c>
      <c r="K5" s="11" t="s">
        <v>44</v>
      </c>
    </row>
    <row r="6" spans="1:11" ht="57.6" x14ac:dyDescent="0.3">
      <c r="A6" s="8" t="s">
        <v>8</v>
      </c>
      <c r="B6" s="8">
        <v>39.299999999999997</v>
      </c>
      <c r="C6" s="8">
        <v>23.7</v>
      </c>
      <c r="D6" s="8">
        <v>15.6</v>
      </c>
      <c r="E6" s="9">
        <v>4030000</v>
      </c>
      <c r="F6" s="9">
        <v>955110</v>
      </c>
      <c r="G6" s="9">
        <v>1583790</v>
      </c>
      <c r="H6" s="9">
        <v>628680</v>
      </c>
      <c r="I6" s="8" t="s">
        <v>30</v>
      </c>
      <c r="J6" s="11" t="s">
        <v>42</v>
      </c>
      <c r="K6" s="11" t="s">
        <v>44</v>
      </c>
    </row>
    <row r="7" spans="1:11" ht="57.6" x14ac:dyDescent="0.3">
      <c r="A7" s="8" t="s">
        <v>9</v>
      </c>
      <c r="B7" s="8">
        <v>42.5</v>
      </c>
      <c r="C7" s="8">
        <v>22.2</v>
      </c>
      <c r="D7" s="8">
        <v>20.3</v>
      </c>
      <c r="E7" s="9">
        <v>4030000</v>
      </c>
      <c r="F7" s="9">
        <v>894660</v>
      </c>
      <c r="G7" s="9">
        <v>1712750</v>
      </c>
      <c r="H7" s="9">
        <v>818090</v>
      </c>
      <c r="I7" s="8" t="s">
        <v>30</v>
      </c>
      <c r="J7" s="11" t="s">
        <v>43</v>
      </c>
      <c r="K7" s="11" t="s">
        <v>44</v>
      </c>
    </row>
    <row r="8" spans="1:11" x14ac:dyDescent="0.3">
      <c r="A8" s="10" t="s">
        <v>29</v>
      </c>
      <c r="B8" s="8"/>
      <c r="C8" s="8"/>
      <c r="D8" s="8"/>
      <c r="E8" s="9">
        <f>SUM(E2:E7)</f>
        <v>31000000</v>
      </c>
      <c r="F8" s="9">
        <f>SUM(F2:F7)</f>
        <v>11007790</v>
      </c>
      <c r="G8" s="9">
        <f>SUM(G2:G7)</f>
        <v>16451080</v>
      </c>
      <c r="H8" s="9">
        <f>SUM(H2:H7)</f>
        <v>5443290</v>
      </c>
      <c r="I8" s="8"/>
      <c r="J8" s="11"/>
      <c r="K8" s="8"/>
    </row>
    <row r="9" spans="1:11" x14ac:dyDescent="0.3">
      <c r="F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BF0E4-90D1-4999-8689-6E78A1C6393C}">
  <dimension ref="A1"/>
  <sheetViews>
    <sheetView showGridLines="0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CBCB5-D8B0-4698-B84E-590234B84EB5}">
  <dimension ref="A1:M7"/>
  <sheetViews>
    <sheetView topLeftCell="D1" workbookViewId="0">
      <pane ySplit="1" topLeftCell="A2" activePane="bottomLeft" state="frozen"/>
      <selection pane="bottomLeft" activeCell="O4" sqref="O4"/>
    </sheetView>
  </sheetViews>
  <sheetFormatPr defaultRowHeight="14.4" x14ac:dyDescent="0.3"/>
  <cols>
    <col min="1" max="1" width="12.109375" style="5" bestFit="1" customWidth="1"/>
    <col min="2" max="4" width="8.88671875" style="5"/>
    <col min="5" max="8" width="12.33203125" style="5" bestFit="1" customWidth="1"/>
    <col min="9" max="9" width="8.88671875" style="5"/>
    <col min="10" max="10" width="24.5546875" style="6" customWidth="1"/>
    <col min="11" max="11" width="16.109375" style="6" customWidth="1"/>
    <col min="12" max="16384" width="8.88671875" style="5"/>
  </cols>
  <sheetData>
    <row r="1" spans="1:13" s="2" customFormat="1" ht="57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15</v>
      </c>
      <c r="J1" s="2" t="s">
        <v>16</v>
      </c>
      <c r="K1" s="2" t="s">
        <v>14</v>
      </c>
      <c r="L1" s="2" t="s">
        <v>17</v>
      </c>
      <c r="M1" s="2" t="s">
        <v>18</v>
      </c>
    </row>
    <row r="2" spans="1:13" ht="86.4" x14ac:dyDescent="0.3">
      <c r="A2" s="5" t="s">
        <v>4</v>
      </c>
      <c r="B2" s="5">
        <v>49.9</v>
      </c>
      <c r="C2" s="5">
        <v>30.5</v>
      </c>
      <c r="D2" s="5">
        <v>19.399999999999999</v>
      </c>
      <c r="E2" s="7">
        <f>L2*M2</f>
        <v>7750000</v>
      </c>
      <c r="F2" s="7">
        <f>(E2*C2)/100</f>
        <v>2363750</v>
      </c>
      <c r="G2" s="7">
        <f>(E2*B2)/100</f>
        <v>3867250</v>
      </c>
      <c r="H2" s="7">
        <f>G2-F2</f>
        <v>1503500</v>
      </c>
      <c r="I2" s="5" t="s">
        <v>30</v>
      </c>
      <c r="J2" s="6" t="s">
        <v>31</v>
      </c>
      <c r="K2" s="6" t="s">
        <v>44</v>
      </c>
      <c r="L2" s="5">
        <v>31000000</v>
      </c>
      <c r="M2" s="5">
        <v>0.25</v>
      </c>
    </row>
    <row r="3" spans="1:13" ht="57.6" x14ac:dyDescent="0.3">
      <c r="A3" s="5" t="s">
        <v>5</v>
      </c>
      <c r="B3" s="5">
        <v>72</v>
      </c>
      <c r="C3" s="5">
        <v>50.8</v>
      </c>
      <c r="D3" s="5">
        <v>21.2</v>
      </c>
      <c r="E3" s="7">
        <f t="shared" ref="E3:E7" si="0">L3*M3</f>
        <v>4650000</v>
      </c>
      <c r="F3" s="7">
        <f t="shared" ref="F3:F7" si="1">(E3*C3)/100</f>
        <v>2362200</v>
      </c>
      <c r="G3" s="7">
        <f t="shared" ref="G3:G7" si="2">(E3*B3)/100</f>
        <v>3348000</v>
      </c>
      <c r="H3" s="7">
        <f t="shared" ref="H3:H7" si="3">G3-F3</f>
        <v>985800</v>
      </c>
      <c r="I3" s="5" t="s">
        <v>30</v>
      </c>
      <c r="J3" s="6" t="s">
        <v>32</v>
      </c>
      <c r="K3" s="6" t="s">
        <v>44</v>
      </c>
      <c r="L3" s="5">
        <v>31000000</v>
      </c>
      <c r="M3" s="5">
        <v>0.15</v>
      </c>
    </row>
    <row r="4" spans="1:13" ht="72" x14ac:dyDescent="0.3">
      <c r="A4" s="5" t="s">
        <v>6</v>
      </c>
      <c r="B4" s="5">
        <v>75.8</v>
      </c>
      <c r="C4" s="5">
        <v>54.6</v>
      </c>
      <c r="D4" s="5">
        <v>21.2</v>
      </c>
      <c r="E4" s="7">
        <f t="shared" si="0"/>
        <v>5270000</v>
      </c>
      <c r="F4" s="7">
        <f t="shared" si="1"/>
        <v>2877420</v>
      </c>
      <c r="G4" s="7">
        <f t="shared" si="2"/>
        <v>3994660</v>
      </c>
      <c r="H4" s="7">
        <f t="shared" si="3"/>
        <v>1117240</v>
      </c>
      <c r="I4" s="5" t="s">
        <v>30</v>
      </c>
      <c r="J4" s="6" t="s">
        <v>33</v>
      </c>
      <c r="K4" s="6" t="s">
        <v>44</v>
      </c>
      <c r="L4" s="5">
        <v>31000000</v>
      </c>
      <c r="M4" s="5">
        <v>0.17</v>
      </c>
    </row>
    <row r="5" spans="1:13" ht="72" x14ac:dyDescent="0.3">
      <c r="A5" s="5" t="s">
        <v>7</v>
      </c>
      <c r="B5" s="5">
        <v>36.9</v>
      </c>
      <c r="C5" s="5">
        <v>29.5</v>
      </c>
      <c r="D5" s="5">
        <v>7.4</v>
      </c>
      <c r="E5" s="7">
        <f t="shared" si="0"/>
        <v>5270000</v>
      </c>
      <c r="F5" s="7">
        <f t="shared" si="1"/>
        <v>1554650</v>
      </c>
      <c r="G5" s="7">
        <f t="shared" si="2"/>
        <v>1944630</v>
      </c>
      <c r="H5" s="7">
        <f t="shared" si="3"/>
        <v>389980</v>
      </c>
      <c r="I5" s="5" t="s">
        <v>30</v>
      </c>
      <c r="J5" s="6" t="s">
        <v>36</v>
      </c>
      <c r="K5" s="6" t="s">
        <v>44</v>
      </c>
      <c r="L5" s="5">
        <v>31000000</v>
      </c>
      <c r="M5" s="5">
        <v>0.17</v>
      </c>
    </row>
    <row r="6" spans="1:13" ht="72" x14ac:dyDescent="0.3">
      <c r="A6" s="5" t="s">
        <v>8</v>
      </c>
      <c r="B6" s="5">
        <v>39.299999999999997</v>
      </c>
      <c r="C6" s="5">
        <v>23.7</v>
      </c>
      <c r="D6" s="5">
        <v>15.6</v>
      </c>
      <c r="E6" s="7">
        <f t="shared" si="0"/>
        <v>4030000</v>
      </c>
      <c r="F6" s="7">
        <f t="shared" si="1"/>
        <v>955110</v>
      </c>
      <c r="G6" s="7">
        <f t="shared" si="2"/>
        <v>1583790</v>
      </c>
      <c r="H6" s="7">
        <f t="shared" si="3"/>
        <v>628680</v>
      </c>
      <c r="I6" s="5" t="s">
        <v>30</v>
      </c>
      <c r="J6" s="6" t="s">
        <v>34</v>
      </c>
      <c r="K6" s="6" t="s">
        <v>44</v>
      </c>
      <c r="L6" s="5">
        <v>31000000</v>
      </c>
      <c r="M6" s="5">
        <v>0.13</v>
      </c>
    </row>
    <row r="7" spans="1:13" ht="57.6" x14ac:dyDescent="0.3">
      <c r="A7" s="5" t="s">
        <v>9</v>
      </c>
      <c r="B7" s="5">
        <v>42.5</v>
      </c>
      <c r="C7" s="5">
        <v>22.2</v>
      </c>
      <c r="D7" s="5">
        <v>20.3</v>
      </c>
      <c r="E7" s="7">
        <f t="shared" si="0"/>
        <v>4030000</v>
      </c>
      <c r="F7" s="7">
        <f t="shared" si="1"/>
        <v>894660</v>
      </c>
      <c r="G7" s="7">
        <f t="shared" si="2"/>
        <v>1712750</v>
      </c>
      <c r="H7" s="7">
        <f t="shared" si="3"/>
        <v>818090</v>
      </c>
      <c r="I7" s="5" t="s">
        <v>30</v>
      </c>
      <c r="J7" s="6" t="s">
        <v>35</v>
      </c>
      <c r="K7" s="6" t="s">
        <v>44</v>
      </c>
      <c r="L7" s="5">
        <v>31000000</v>
      </c>
      <c r="M7" s="5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zone_summary_table_2021</vt:lpstr>
      <vt:lpstr>zone_visuals_2021</vt:lpstr>
      <vt:lpstr>zone_metrics_2021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</dc:creator>
  <cp:lastModifiedBy>Neha Joshi</cp:lastModifiedBy>
  <dcterms:created xsi:type="dcterms:W3CDTF">2025-12-02T22:18:35Z</dcterms:created>
  <dcterms:modified xsi:type="dcterms:W3CDTF">2025-12-03T17:07:00Z</dcterms:modified>
</cp:coreProperties>
</file>